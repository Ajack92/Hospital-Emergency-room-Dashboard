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arjun\Desktop\Excel\"/>
    </mc:Choice>
  </mc:AlternateContent>
  <xr:revisionPtr revIDLastSave="0" documentId="13_ncr:1_{4DDE7407-1FF1-45DF-A698-D1A6E7F37ED9}" xr6:coauthVersionLast="47" xr6:coauthVersionMax="47" xr10:uidLastSave="{00000000-0000-0000-0000-000000000000}"/>
  <bookViews>
    <workbookView xWindow="47880" yWindow="-120" windowWidth="20730" windowHeight="11040" activeTab="1" xr2:uid="{00000000-000D-0000-FFFF-FFFF00000000}"/>
  </bookViews>
  <sheets>
    <sheet name="Pivot Report" sheetId="1" r:id="rId1"/>
    <sheet name="Dashboard" sheetId="2" r:id="rId2"/>
    <sheet name="daily satisfaction score" sheetId="6" r:id="rId3"/>
    <sheet name="Daily Trend" sheetId="4" r:id="rId4"/>
    <sheet name="AVG wait time daily " sheetId="5"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91c016d1-f3d2-43b0-b109-ca00b39c4381" name="Hospital Emergency Room Data" connection="Query - Hospital Emergency Room Data"/>
          <x15:modelTable id="Calender_Table_a232ac28-08fc-49a2-b7e1-8eab4c60168a"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Hospital Emergency Room Data" columnName="Patient Admission Date." columnId="Patient Admission Date">
                <x16:calculatedTimeColumn columnName="Patient Admission Date. (Year)" columnId="Patient Admission Date  (Year)" contentType="years" isSelected="1"/>
                <x16:calculatedTimeColumn columnName="Patient Admission Date. (Quarter)" columnId="Patient Admission Date  (Quarter)" contentType="quarters" isSelected="1"/>
                <x16:calculatedTimeColumn columnName="Patient Admission Date. (Month Index)" columnId="Patient Admission Date  (Month Index)" contentType="monthsindex" isSelected="1"/>
                <x16:calculatedTimeColumn columnName="Patient Admission Date. (Month)" columnId="Patient Admission Date  (Month)" contentType="months" isSelected="1"/>
              </x16:modelTimeGrouping>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8" i="1" l="1"/>
  <c r="B47" i="1"/>
  <c r="C47" i="1"/>
  <c r="D47" i="1"/>
  <c r="C48" i="1"/>
  <c r="D4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B11E34E-A27B-4B05-A318-FFE2D709CE86}" name="Query - Calender_Table" description="Connection to the 'Calender_Table' query in the workbook." type="100" refreshedVersion="8" minRefreshableVersion="5">
    <extLst>
      <ext xmlns:x15="http://schemas.microsoft.com/office/spreadsheetml/2010/11/main" uri="{DE250136-89BD-433C-8126-D09CA5730AF9}">
        <x15:connection id="010e5418-230c-40e4-8758-e91cd0ade69f"/>
      </ext>
    </extLst>
  </connection>
  <connection id="2" xr16:uid="{A62CA694-C911-4700-A042-EEA2D44C2BC3}"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8564c1ed-43e7-4c52-8f66-09680b407fc0"/>
      </ext>
    </extLst>
  </connection>
  <connection id="3" xr16:uid="{E93CEF85-6BBA-434E-A5FB-7DAADC2F3CB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<sst xmlns="http://schemas.openxmlformats.org/spreadsheetml/2006/main" count="150" uniqueCount="69">
  <si>
    <t>Distinct Count of Patient Id</t>
  </si>
  <si>
    <t>No of patients</t>
  </si>
  <si>
    <t>Average of Patient Waittime</t>
  </si>
  <si>
    <t>Average of Patient Satisfaction Score</t>
  </si>
  <si>
    <t>Grand Total</t>
  </si>
  <si>
    <t>Row Labels</t>
  </si>
  <si>
    <t>Count of Patient Admission Flag</t>
  </si>
  <si>
    <t>Admitted</t>
  </si>
  <si>
    <t>Not Admitted</t>
  </si>
  <si>
    <t>Count of Patient Admission Flag2</t>
  </si>
  <si>
    <t xml:space="preserve">Admission status </t>
  </si>
  <si>
    <t>% Status</t>
  </si>
  <si>
    <t xml:space="preserve">Patients </t>
  </si>
  <si>
    <t>0-09</t>
  </si>
  <si>
    <t>10-19</t>
  </si>
  <si>
    <t>20-29</t>
  </si>
  <si>
    <t>30-39</t>
  </si>
  <si>
    <t>40-49</t>
  </si>
  <si>
    <t>50-59</t>
  </si>
  <si>
    <t>60-69</t>
  </si>
  <si>
    <t>70-79</t>
  </si>
  <si>
    <t>Count of Age Group</t>
  </si>
  <si>
    <t>Female</t>
  </si>
  <si>
    <t>Male</t>
  </si>
  <si>
    <t>Count of Patient Gender</t>
  </si>
  <si>
    <t>Delay</t>
  </si>
  <si>
    <t>Ontime</t>
  </si>
  <si>
    <t>Count of Patient Id</t>
  </si>
  <si>
    <t>Count of Patient Atent Status</t>
  </si>
  <si>
    <t>Cardiology</t>
  </si>
  <si>
    <t>Gastroenterology</t>
  </si>
  <si>
    <t>General Practice</t>
  </si>
  <si>
    <t>Neurology</t>
  </si>
  <si>
    <t>None</t>
  </si>
  <si>
    <t>Orthopedics</t>
  </si>
  <si>
    <t>Physiotherapy</t>
  </si>
  <si>
    <t>Renal</t>
  </si>
  <si>
    <t>2024</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</si>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</sst>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11"/>
      <color theme="1"/>
      <name val="Calibri"/>
      <family val="2"/>
      <scheme val="minor"/>
    </font>
  </fonts>
  <fills count="5">
    <fill>
      <patternFill patternType="none"/>
    </fill>
    <fill>
      <patternFill patternType="gray125"/>
    </fill>
    <fill>
      <patternFill patternType="solid">
        <fgColor theme="1" tint="0.249977111117893"/>
        <bgColor indexed="64"/>
      </patternFill>
    </fill>
    <fill>
      <patternFill patternType="solid">
        <fgColor theme="0" tint="-4.9989318521683403E-2"/>
        <bgColor indexed="64"/>
      </patternFill>
    </fill>
    <fill>
      <patternFill patternType="solid">
        <fgColor theme="4" tint="0.3999755851924192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2"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3" borderId="0" xfId="0" applyFill="1"/>
    <xf numFmtId="10" fontId="0" fillId="0" borderId="0" xfId="0" applyNumberFormat="1"/>
    <xf numFmtId="0" fontId="0" fillId="4" borderId="0" xfId="0" applyFill="1"/>
    <xf numFmtId="0" fontId="0" fillId="4" borderId="0" xfId="0" applyFill="1" applyAlignment="1">
      <alignment horizontal="center"/>
    </xf>
    <xf numFmtId="0" fontId="0" fillId="0" borderId="0" xfId="0" applyAlignment="1">
      <alignment horizontal="center"/>
    </xf>
    <xf numFmtId="10" fontId="0" fillId="0" borderId="0" xfId="1" applyNumberFormat="1" applyFont="1" applyAlignment="1">
      <alignment horizontal="center"/>
    </xf>
    <xf numFmtId="2" fontId="0" fillId="0" borderId="0" xfId="0" applyNumberFormat="1" applyAlignment="1">
      <alignment horizontal="center"/>
    </xf>
    <xf numFmtId="1" fontId="0" fillId="0" borderId="0" xfId="0" applyNumberFormat="1"/>
  </cellXfs>
  <cellStyles count="2">
    <cellStyle name="Normal" xfId="0" builtinId="0"/>
    <cellStyle name="Percent" xfId="1" builtinId="5"/>
  </cellStyles>
  <dxfs count="15">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1" formatCode="0"/>
    </dxf>
    <dxf>
      <numFmt numFmtId="2" formatCode="0.00"/>
    </dxf>
    <dxf>
      <font>
        <b/>
        <color theme="1"/>
      </font>
      <border>
        <bottom style="thin">
          <color theme="4"/>
        </bottom>
        <vertical/>
        <horizontal/>
      </border>
    </dxf>
    <dxf>
      <font>
        <sz val="8"/>
        <color theme="1"/>
      </font>
      <fill>
        <patternFill patternType="none">
          <bgColor auto="1"/>
        </patternFill>
      </fill>
      <border diagonalUp="0" diagonalDown="0">
        <left/>
        <right/>
        <top/>
        <bottom/>
        <vertical/>
        <horizontal/>
      </border>
    </dxf>
  </dxfs>
  <tableStyles count="1" defaultTableStyle="TableStyleMedium2" defaultPivotStyle="PivotStyleLight16">
    <tableStyle name="Mystyle" pivot="0" table="0" count="10" xr9:uid="{3403DDFE-548A-4FFD-9D78-4FA3AC04DABF}">
      <tableStyleElement type="wholeTable" dxfId="14"/>
      <tableStyleElement type="headerRow" dxfId="13"/>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emergency.xlsx]Pivot Report!PivotTable7</c:name>
    <c:fmtId val="0"/>
  </c:pivotSource>
  <c:chart>
    <c:autoTitleDeleted val="0"/>
    <c:pivotFmts>
      <c:pivotFmt>
        <c:idx val="0"/>
        <c:spPr>
          <a:solidFill>
            <a:schemeClr val="accent1">
              <a:lumMod val="50000"/>
            </a:schemeClr>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pivotFmt>
      <c:pivotFmt>
        <c:idx val="3"/>
      </c:pivotFmt>
    </c:pivotFmts>
    <c:plotArea>
      <c:layout>
        <c:manualLayout>
          <c:layoutTarget val="inner"/>
          <c:xMode val="edge"/>
          <c:yMode val="edge"/>
          <c:x val="0.10365219240569028"/>
          <c:y val="0.24170942903433809"/>
          <c:w val="0.81531830853843024"/>
          <c:h val="0.6296729288473939"/>
        </c:manualLayout>
      </c:layout>
      <c:barChart>
        <c:barDir val="bar"/>
        <c:grouping val="clustered"/>
        <c:varyColors val="0"/>
        <c:ser>
          <c:idx val="0"/>
          <c:order val="0"/>
          <c:tx>
            <c:strRef>
              <c:f>'Pivot Report'!$C$40</c:f>
              <c:strCache>
                <c:ptCount val="1"/>
                <c:pt idx="0">
                  <c:v>Count of Patient Admission Flag</c:v>
                </c:pt>
              </c:strCache>
            </c:strRef>
          </c:tx>
          <c:spPr>
            <a:solidFill>
              <a:schemeClr val="accent1">
                <a:lumMod val="50000"/>
              </a:schemeClr>
            </a:solidFill>
            <a:ln>
              <a:noFill/>
            </a:ln>
            <a:effectLst/>
          </c:spPr>
          <c:invertIfNegative val="0"/>
          <c:cat>
            <c:strRef>
              <c:f>'Pivot Report'!$B$41:$B$43</c:f>
              <c:strCache>
                <c:ptCount val="2"/>
                <c:pt idx="0">
                  <c:v>Admitted</c:v>
                </c:pt>
                <c:pt idx="1">
                  <c:v>Not Admitted</c:v>
                </c:pt>
              </c:strCache>
            </c:strRef>
          </c:cat>
          <c:val>
            <c:numRef>
              <c:f>'Pivot Report'!$C$41:$C$43</c:f>
              <c:numCache>
                <c:formatCode>0.00</c:formatCode>
                <c:ptCount val="2"/>
                <c:pt idx="0">
                  <c:v>269</c:v>
                </c:pt>
                <c:pt idx="1">
                  <c:v>244</c:v>
                </c:pt>
              </c:numCache>
            </c:numRef>
          </c:val>
          <c:extLst>
            <c:ext xmlns:c16="http://schemas.microsoft.com/office/drawing/2014/chart" uri="{C3380CC4-5D6E-409C-BE32-E72D297353CC}">
              <c16:uniqueId val="{00000002-B0DF-43F2-8402-F9F686B5A99C}"/>
            </c:ext>
          </c:extLst>
        </c:ser>
        <c:ser>
          <c:idx val="1"/>
          <c:order val="1"/>
          <c:tx>
            <c:strRef>
              <c:f>'Pivot Report'!$D$40</c:f>
              <c:strCache>
                <c:ptCount val="1"/>
                <c:pt idx="0">
                  <c:v>Count of Patient Admission Flag2</c:v>
                </c:pt>
              </c:strCache>
            </c:strRef>
          </c:tx>
          <c:spPr>
            <a:solidFill>
              <a:schemeClr val="accent2"/>
            </a:solidFill>
            <a:ln>
              <a:noFill/>
            </a:ln>
            <a:effectLst/>
          </c:spPr>
          <c:invertIfNegative val="0"/>
          <c:cat>
            <c:strRef>
              <c:f>'Pivot Report'!$B$41:$B$43</c:f>
              <c:strCache>
                <c:ptCount val="2"/>
                <c:pt idx="0">
                  <c:v>Admitted</c:v>
                </c:pt>
                <c:pt idx="1">
                  <c:v>Not Admitted</c:v>
                </c:pt>
              </c:strCache>
            </c:strRef>
          </c:cat>
          <c:val>
            <c:numRef>
              <c:f>'Pivot Report'!$D$41:$D$43</c:f>
              <c:numCache>
                <c:formatCode>0.00%</c:formatCode>
                <c:ptCount val="2"/>
                <c:pt idx="0">
                  <c:v>0.52436647173489281</c:v>
                </c:pt>
                <c:pt idx="1">
                  <c:v>0.47563352826510719</c:v>
                </c:pt>
              </c:numCache>
            </c:numRef>
          </c:val>
          <c:extLst>
            <c:ext xmlns:c16="http://schemas.microsoft.com/office/drawing/2014/chart" uri="{C3380CC4-5D6E-409C-BE32-E72D297353CC}">
              <c16:uniqueId val="{00000003-B0DF-43F2-8402-F9F686B5A99C}"/>
            </c:ext>
          </c:extLst>
        </c:ser>
        <c:dLbls>
          <c:showLegendKey val="0"/>
          <c:showVal val="0"/>
          <c:showCatName val="0"/>
          <c:showSerName val="0"/>
          <c:showPercent val="0"/>
          <c:showBubbleSize val="0"/>
        </c:dLbls>
        <c:gapWidth val="182"/>
        <c:axId val="999455904"/>
        <c:axId val="987950432"/>
      </c:barChart>
      <c:catAx>
        <c:axId val="999455904"/>
        <c:scaling>
          <c:orientation val="minMax"/>
        </c:scaling>
        <c:delete val="1"/>
        <c:axPos val="l"/>
        <c:numFmt formatCode="General" sourceLinked="1"/>
        <c:majorTickMark val="none"/>
        <c:minorTickMark val="none"/>
        <c:tickLblPos val="nextTo"/>
        <c:crossAx val="987950432"/>
        <c:crosses val="autoZero"/>
        <c:auto val="1"/>
        <c:lblAlgn val="ctr"/>
        <c:lblOffset val="100"/>
        <c:noMultiLvlLbl val="0"/>
      </c:catAx>
      <c:valAx>
        <c:axId val="987950432"/>
        <c:scaling>
          <c:orientation val="minMax"/>
        </c:scaling>
        <c:delete val="1"/>
        <c:axPos val="b"/>
        <c:numFmt formatCode="0.00" sourceLinked="1"/>
        <c:majorTickMark val="none"/>
        <c:minorTickMark val="none"/>
        <c:tickLblPos val="nextTo"/>
        <c:crossAx val="999455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emergency.xlsx]Pivot Report!PivotTable8</c:name>
    <c:fmtId val="5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5.543942428218062E-2"/>
          <c:w val="0.93888888888888888"/>
          <c:h val="0.85171485364319766"/>
        </c:manualLayout>
      </c:layout>
      <c:barChart>
        <c:barDir val="col"/>
        <c:grouping val="clustered"/>
        <c:varyColors val="0"/>
        <c:ser>
          <c:idx val="0"/>
          <c:order val="0"/>
          <c:tx>
            <c:strRef>
              <c:f>'Pivot Report'!$K$40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Report'!$J$41:$J$49</c:f>
              <c:strCache>
                <c:ptCount val="8"/>
                <c:pt idx="0">
                  <c:v>0-09</c:v>
                </c:pt>
                <c:pt idx="1">
                  <c:v>10-19</c:v>
                </c:pt>
                <c:pt idx="2">
                  <c:v>20-29</c:v>
                </c:pt>
                <c:pt idx="3">
                  <c:v>30-39</c:v>
                </c:pt>
                <c:pt idx="4">
                  <c:v>40-49</c:v>
                </c:pt>
                <c:pt idx="5">
                  <c:v>50-59</c:v>
                </c:pt>
                <c:pt idx="6">
                  <c:v>60-69</c:v>
                </c:pt>
                <c:pt idx="7">
                  <c:v>70-79</c:v>
                </c:pt>
              </c:strCache>
            </c:strRef>
          </c:cat>
          <c:val>
            <c:numRef>
              <c:f>'Pivot Report'!$K$41:$K$49</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0-C78A-40A8-9A03-DC00EBE9BF3C}"/>
            </c:ext>
          </c:extLst>
        </c:ser>
        <c:dLbls>
          <c:showLegendKey val="0"/>
          <c:showVal val="0"/>
          <c:showCatName val="0"/>
          <c:showSerName val="0"/>
          <c:showPercent val="0"/>
          <c:showBubbleSize val="0"/>
        </c:dLbls>
        <c:gapWidth val="219"/>
        <c:overlap val="-27"/>
        <c:axId val="1877861152"/>
        <c:axId val="1877866432"/>
      </c:barChart>
      <c:catAx>
        <c:axId val="1877861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7866432"/>
        <c:crosses val="autoZero"/>
        <c:auto val="1"/>
        <c:lblAlgn val="ctr"/>
        <c:lblOffset val="100"/>
        <c:noMultiLvlLbl val="0"/>
      </c:catAx>
      <c:valAx>
        <c:axId val="1877866432"/>
        <c:scaling>
          <c:orientation val="minMax"/>
        </c:scaling>
        <c:delete val="1"/>
        <c:axPos val="l"/>
        <c:numFmt formatCode="0" sourceLinked="1"/>
        <c:majorTickMark val="none"/>
        <c:minorTickMark val="none"/>
        <c:tickLblPos val="nextTo"/>
        <c:crossAx val="1877861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emergency.xlsx]Pivot Report!PivotTable9</c:name>
    <c:fmtId val="5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22134667541557304"/>
          <c:y val="0.179951516477107"/>
          <c:w val="0.41147353455818025"/>
          <c:h val="0.68578922426363376"/>
        </c:manualLayout>
      </c:layout>
      <c:pieChart>
        <c:varyColors val="1"/>
        <c:ser>
          <c:idx val="0"/>
          <c:order val="0"/>
          <c:tx>
            <c:strRef>
              <c:f>'Pivot Report'!$O$40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817-4FE4-87E5-5BFA710C5E8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17-4FE4-87E5-5BFA710C5E8F}"/>
              </c:ext>
            </c:extLst>
          </c:dPt>
          <c:cat>
            <c:strRef>
              <c:f>'Pivot Report'!$N$41:$N$43</c:f>
              <c:strCache>
                <c:ptCount val="2"/>
                <c:pt idx="0">
                  <c:v>Female</c:v>
                </c:pt>
                <c:pt idx="1">
                  <c:v>Male</c:v>
                </c:pt>
              </c:strCache>
            </c:strRef>
          </c:cat>
          <c:val>
            <c:numRef>
              <c:f>'Pivot Report'!$O$41:$O$43</c:f>
              <c:numCache>
                <c:formatCode>0.00</c:formatCode>
                <c:ptCount val="2"/>
                <c:pt idx="0">
                  <c:v>241</c:v>
                </c:pt>
                <c:pt idx="1">
                  <c:v>272</c:v>
                </c:pt>
              </c:numCache>
            </c:numRef>
          </c:val>
          <c:extLst>
            <c:ext xmlns:c16="http://schemas.microsoft.com/office/drawing/2014/chart" uri="{C3380CC4-5D6E-409C-BE32-E72D297353CC}">
              <c16:uniqueId val="{00000004-C4C9-4E1B-94F4-554296F13AE7}"/>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16252343457067867"/>
          <c:y val="2.8450629016845603E-2"/>
          <c:w val="0.50353652823120221"/>
          <c:h val="0.216955478756212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emergency.xlsx]Pivot Report!PivotTable10</c:name>
    <c:fmtId val="6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 Report'!$T$40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3C2-43E3-89B3-AAB2AE3421C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3C2-43E3-89B3-AAB2AE3421C7}"/>
              </c:ext>
            </c:extLst>
          </c:dPt>
          <c:cat>
            <c:strRef>
              <c:f>'Pivot Report'!$S$41:$S$43</c:f>
              <c:strCache>
                <c:ptCount val="2"/>
                <c:pt idx="0">
                  <c:v>Delay</c:v>
                </c:pt>
                <c:pt idx="1">
                  <c:v>Ontime</c:v>
                </c:pt>
              </c:strCache>
            </c:strRef>
          </c:cat>
          <c:val>
            <c:numRef>
              <c:f>'Pivot Report'!$T$41:$T$43</c:f>
              <c:numCache>
                <c:formatCode>0.00</c:formatCode>
                <c:ptCount val="2"/>
                <c:pt idx="0">
                  <c:v>316</c:v>
                </c:pt>
                <c:pt idx="1">
                  <c:v>197</c:v>
                </c:pt>
              </c:numCache>
            </c:numRef>
          </c:val>
          <c:extLst>
            <c:ext xmlns:c16="http://schemas.microsoft.com/office/drawing/2014/chart" uri="{C3380CC4-5D6E-409C-BE32-E72D297353CC}">
              <c16:uniqueId val="{00000004-A429-49BB-9DC0-4F8D83139A39}"/>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0001335800052555"/>
          <c:y val="9.8764321126525847E-2"/>
          <c:w val="0.25448830667652095"/>
          <c:h val="0.251398407601284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emergency.xlsx]Pivot Report!PivotTable11</c:name>
    <c:fmtId val="6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Report'!$O$59</c:f>
              <c:strCache>
                <c:ptCount val="1"/>
                <c:pt idx="0">
                  <c:v>Total</c:v>
                </c:pt>
              </c:strCache>
            </c:strRef>
          </c:tx>
          <c:spPr>
            <a:solidFill>
              <a:schemeClr val="accent1"/>
            </a:solidFill>
            <a:ln>
              <a:noFill/>
            </a:ln>
            <a:effectLst/>
          </c:spPr>
          <c:invertIfNegative val="0"/>
          <c:cat>
            <c:strRef>
              <c:f>'Pivot Report'!$N$60:$N$68</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'Pivot Report'!$O$60:$O$68</c:f>
              <c:numCache>
                <c:formatCode>0</c:formatCode>
                <c:ptCount val="8"/>
                <c:pt idx="0">
                  <c:v>14</c:v>
                </c:pt>
                <c:pt idx="1">
                  <c:v>4</c:v>
                </c:pt>
                <c:pt idx="2">
                  <c:v>103</c:v>
                </c:pt>
                <c:pt idx="3">
                  <c:v>9</c:v>
                </c:pt>
                <c:pt idx="4">
                  <c:v>299</c:v>
                </c:pt>
                <c:pt idx="5">
                  <c:v>65</c:v>
                </c:pt>
                <c:pt idx="6">
                  <c:v>14</c:v>
                </c:pt>
                <c:pt idx="7">
                  <c:v>5</c:v>
                </c:pt>
              </c:numCache>
            </c:numRef>
          </c:val>
          <c:extLst>
            <c:ext xmlns:c16="http://schemas.microsoft.com/office/drawing/2014/chart" uri="{C3380CC4-5D6E-409C-BE32-E72D297353CC}">
              <c16:uniqueId val="{00000000-06E3-4990-BDC4-DEB57FA7769F}"/>
            </c:ext>
          </c:extLst>
        </c:ser>
        <c:dLbls>
          <c:showLegendKey val="0"/>
          <c:showVal val="0"/>
          <c:showCatName val="0"/>
          <c:showSerName val="0"/>
          <c:showPercent val="0"/>
          <c:showBubbleSize val="0"/>
        </c:dLbls>
        <c:gapWidth val="182"/>
        <c:axId val="652478800"/>
        <c:axId val="652495600"/>
      </c:barChart>
      <c:catAx>
        <c:axId val="652478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495600"/>
        <c:crosses val="autoZero"/>
        <c:auto val="1"/>
        <c:lblAlgn val="ctr"/>
        <c:lblOffset val="100"/>
        <c:noMultiLvlLbl val="0"/>
      </c:catAx>
      <c:valAx>
        <c:axId val="652495600"/>
        <c:scaling>
          <c:orientation val="minMax"/>
        </c:scaling>
        <c:delete val="1"/>
        <c:axPos val="b"/>
        <c:numFmt formatCode="0" sourceLinked="1"/>
        <c:majorTickMark val="none"/>
        <c:minorTickMark val="none"/>
        <c:tickLblPos val="nextTo"/>
        <c:crossAx val="652478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emergency.xlsx]Pivot Report!PivotTable2</c:name>
    <c:fmtId val="15"/>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339011195029191E-2"/>
          <c:y val="0.20810240825160012"/>
          <c:w val="0.84864606209938065"/>
          <c:h val="0.53152483620500002"/>
        </c:manualLayout>
      </c:layout>
      <c:areaChart>
        <c:grouping val="standard"/>
        <c:varyColors val="0"/>
        <c:ser>
          <c:idx val="0"/>
          <c:order val="0"/>
          <c:tx>
            <c:strRef>
              <c:f>'Pivot Report'!$F$4</c:f>
              <c:strCache>
                <c:ptCount val="1"/>
                <c:pt idx="0">
                  <c:v>Total</c:v>
                </c:pt>
              </c:strCache>
            </c:strRef>
          </c:tx>
          <c:spPr>
            <a:solidFill>
              <a:schemeClr val="accent1"/>
            </a:solidFill>
            <a:ln w="25400">
              <a:noFill/>
            </a:ln>
            <a:effectLst/>
          </c:spPr>
          <c:cat>
            <c:strRef>
              <c:f>'Pivot Report'!$E$5:$E$36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Report'!$F$5:$F$36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51D9-456A-8401-2EEDF99747A4}"/>
            </c:ext>
          </c:extLst>
        </c:ser>
        <c:dLbls>
          <c:showLegendKey val="0"/>
          <c:showVal val="0"/>
          <c:showCatName val="0"/>
          <c:showSerName val="0"/>
          <c:showPercent val="0"/>
          <c:showBubbleSize val="0"/>
        </c:dLbls>
        <c:axId val="1687014176"/>
        <c:axId val="1687014656"/>
      </c:areaChart>
      <c:catAx>
        <c:axId val="1687014176"/>
        <c:scaling>
          <c:orientation val="minMax"/>
        </c:scaling>
        <c:delete val="1"/>
        <c:axPos val="b"/>
        <c:numFmt formatCode="General" sourceLinked="1"/>
        <c:majorTickMark val="out"/>
        <c:minorTickMark val="none"/>
        <c:tickLblPos val="nextTo"/>
        <c:crossAx val="1687014656"/>
        <c:crosses val="autoZero"/>
        <c:auto val="1"/>
        <c:lblAlgn val="ctr"/>
        <c:lblOffset val="100"/>
        <c:noMultiLvlLbl val="0"/>
      </c:catAx>
      <c:valAx>
        <c:axId val="1687014656"/>
        <c:scaling>
          <c:orientation val="minMax"/>
        </c:scaling>
        <c:delete val="1"/>
        <c:axPos val="l"/>
        <c:numFmt formatCode="General" sourceLinked="1"/>
        <c:majorTickMark val="none"/>
        <c:minorTickMark val="none"/>
        <c:tickLblPos val="nextTo"/>
        <c:crossAx val="168701417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emergency.xlsx]Pivot Report!PivotTable4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776288889338703E-2"/>
          <c:y val="3.7599686873134697E-2"/>
          <c:w val="0.95622371111066129"/>
          <c:h val="0.77870662000583257"/>
        </c:manualLayout>
      </c:layout>
      <c:areaChart>
        <c:grouping val="standard"/>
        <c:varyColors val="0"/>
        <c:ser>
          <c:idx val="0"/>
          <c:order val="0"/>
          <c:tx>
            <c:strRef>
              <c:f>'Pivot Report'!$K$4</c:f>
              <c:strCache>
                <c:ptCount val="1"/>
                <c:pt idx="0">
                  <c:v>Total</c:v>
                </c:pt>
              </c:strCache>
            </c:strRef>
          </c:tx>
          <c:spPr>
            <a:solidFill>
              <a:schemeClr val="accent1"/>
            </a:solidFill>
            <a:ln w="25400">
              <a:noFill/>
            </a:ln>
            <a:effectLst/>
          </c:spPr>
          <c:cat>
            <c:strRef>
              <c:f>'Pivot Report'!$J$5:$J$36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Report'!$K$5:$K$36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0-7B13-4550-8247-D8BA8BBE2CB1}"/>
            </c:ext>
          </c:extLst>
        </c:ser>
        <c:dLbls>
          <c:showLegendKey val="0"/>
          <c:showVal val="0"/>
          <c:showCatName val="0"/>
          <c:showSerName val="0"/>
          <c:showPercent val="0"/>
          <c:showBubbleSize val="0"/>
        </c:dLbls>
        <c:axId val="589670400"/>
        <c:axId val="589682400"/>
      </c:areaChart>
      <c:catAx>
        <c:axId val="589670400"/>
        <c:scaling>
          <c:orientation val="minMax"/>
        </c:scaling>
        <c:delete val="1"/>
        <c:axPos val="b"/>
        <c:numFmt formatCode="General" sourceLinked="1"/>
        <c:majorTickMark val="out"/>
        <c:minorTickMark val="none"/>
        <c:tickLblPos val="nextTo"/>
        <c:crossAx val="589682400"/>
        <c:crosses val="autoZero"/>
        <c:auto val="1"/>
        <c:lblAlgn val="ctr"/>
        <c:lblOffset val="100"/>
        <c:noMultiLvlLbl val="0"/>
      </c:catAx>
      <c:valAx>
        <c:axId val="589682400"/>
        <c:scaling>
          <c:orientation val="minMax"/>
        </c:scaling>
        <c:delete val="1"/>
        <c:axPos val="l"/>
        <c:numFmt formatCode="0.00" sourceLinked="1"/>
        <c:majorTickMark val="none"/>
        <c:minorTickMark val="none"/>
        <c:tickLblPos val="nextTo"/>
        <c:crossAx val="58967040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emergency.xlsx]Pivot Report!PivotTable6</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940529772006196E-2"/>
          <c:y val="7.0685403323233354E-3"/>
          <c:w val="0.97064890027702688"/>
          <c:h val="0.89981282140819885"/>
        </c:manualLayout>
      </c:layout>
      <c:areaChart>
        <c:grouping val="standard"/>
        <c:varyColors val="0"/>
        <c:ser>
          <c:idx val="0"/>
          <c:order val="0"/>
          <c:tx>
            <c:strRef>
              <c:f>'Pivot Report'!$R$4</c:f>
              <c:strCache>
                <c:ptCount val="1"/>
                <c:pt idx="0">
                  <c:v>Total</c:v>
                </c:pt>
              </c:strCache>
            </c:strRef>
          </c:tx>
          <c:spPr>
            <a:solidFill>
              <a:schemeClr val="accent1"/>
            </a:solidFill>
            <a:ln w="25400">
              <a:noFill/>
            </a:ln>
            <a:effectLst/>
          </c:spPr>
          <c:cat>
            <c:strRef>
              <c:f>'Pivot Report'!$Q$5:$Q$36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Report'!$R$5:$R$36</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0-4CD0-4471-A669-F5BA291564CE}"/>
            </c:ext>
          </c:extLst>
        </c:ser>
        <c:dLbls>
          <c:showLegendKey val="0"/>
          <c:showVal val="0"/>
          <c:showCatName val="0"/>
          <c:showSerName val="0"/>
          <c:showPercent val="0"/>
          <c:showBubbleSize val="0"/>
        </c:dLbls>
        <c:axId val="988601552"/>
        <c:axId val="988605392"/>
      </c:areaChart>
      <c:catAx>
        <c:axId val="988601552"/>
        <c:scaling>
          <c:orientation val="minMax"/>
        </c:scaling>
        <c:delete val="1"/>
        <c:axPos val="b"/>
        <c:numFmt formatCode="General" sourceLinked="1"/>
        <c:majorTickMark val="out"/>
        <c:minorTickMark val="none"/>
        <c:tickLblPos val="nextTo"/>
        <c:crossAx val="988605392"/>
        <c:crosses val="autoZero"/>
        <c:auto val="1"/>
        <c:lblAlgn val="ctr"/>
        <c:lblOffset val="100"/>
        <c:noMultiLvlLbl val="0"/>
      </c:catAx>
      <c:valAx>
        <c:axId val="988605392"/>
        <c:scaling>
          <c:orientation val="minMax"/>
        </c:scaling>
        <c:delete val="1"/>
        <c:axPos val="l"/>
        <c:numFmt formatCode="0.00" sourceLinked="1"/>
        <c:majorTickMark val="none"/>
        <c:minorTickMark val="none"/>
        <c:tickLblPos val="nextTo"/>
        <c:crossAx val="9886015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emergency.xlsx]Pivot Report!PivotTable8</c:name>
    <c:fmtId val="6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063075898852642E-2"/>
          <c:y val="6.0201327258594957E-2"/>
          <c:w val="0.93888888888888888"/>
          <c:h val="0.85171485364319766"/>
        </c:manualLayout>
      </c:layout>
      <c:barChart>
        <c:barDir val="col"/>
        <c:grouping val="clustered"/>
        <c:varyColors val="0"/>
        <c:ser>
          <c:idx val="0"/>
          <c:order val="0"/>
          <c:tx>
            <c:strRef>
              <c:f>'Pivot Report'!$K$40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Report'!$J$41:$J$49</c:f>
              <c:strCache>
                <c:ptCount val="8"/>
                <c:pt idx="0">
                  <c:v>0-09</c:v>
                </c:pt>
                <c:pt idx="1">
                  <c:v>10-19</c:v>
                </c:pt>
                <c:pt idx="2">
                  <c:v>20-29</c:v>
                </c:pt>
                <c:pt idx="3">
                  <c:v>30-39</c:v>
                </c:pt>
                <c:pt idx="4">
                  <c:v>40-49</c:v>
                </c:pt>
                <c:pt idx="5">
                  <c:v>50-59</c:v>
                </c:pt>
                <c:pt idx="6">
                  <c:v>60-69</c:v>
                </c:pt>
                <c:pt idx="7">
                  <c:v>70-79</c:v>
                </c:pt>
              </c:strCache>
            </c:strRef>
          </c:cat>
          <c:val>
            <c:numRef>
              <c:f>'Pivot Report'!$K$41:$K$49</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0-8601-4862-8F9C-D8B931D95896}"/>
            </c:ext>
          </c:extLst>
        </c:ser>
        <c:dLbls>
          <c:showLegendKey val="0"/>
          <c:showVal val="0"/>
          <c:showCatName val="0"/>
          <c:showSerName val="0"/>
          <c:showPercent val="0"/>
          <c:showBubbleSize val="0"/>
        </c:dLbls>
        <c:gapWidth val="219"/>
        <c:overlap val="-27"/>
        <c:axId val="1877861152"/>
        <c:axId val="1877866432"/>
      </c:barChart>
      <c:catAx>
        <c:axId val="1877861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7866432"/>
        <c:crosses val="autoZero"/>
        <c:auto val="1"/>
        <c:lblAlgn val="ctr"/>
        <c:lblOffset val="100"/>
        <c:noMultiLvlLbl val="0"/>
      </c:catAx>
      <c:valAx>
        <c:axId val="1877866432"/>
        <c:scaling>
          <c:orientation val="minMax"/>
        </c:scaling>
        <c:delete val="1"/>
        <c:axPos val="l"/>
        <c:numFmt formatCode="0" sourceLinked="1"/>
        <c:majorTickMark val="none"/>
        <c:minorTickMark val="none"/>
        <c:tickLblPos val="nextTo"/>
        <c:crossAx val="1877861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emergency.xlsx]Pivot Report!PivotTable9</c:name>
    <c:fmtId val="6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accent1">
                <a:alpha val="96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accent1">
                <a:alpha val="96000"/>
              </a:schemeClr>
            </a:solidFill>
          </a:ln>
          <a:effectLst/>
        </c:spPr>
      </c:pivotFmt>
      <c:pivotFmt>
        <c:idx val="6"/>
        <c:spPr>
          <a:solidFill>
            <a:schemeClr val="accent1"/>
          </a:solidFill>
          <a:ln w="19050">
            <a:solidFill>
              <a:schemeClr val="accent1">
                <a:alpha val="96000"/>
              </a:schemeClr>
            </a:solidFill>
          </a:ln>
          <a:effectLst/>
        </c:spPr>
      </c:pivotFmt>
    </c:pivotFmts>
    <c:plotArea>
      <c:layout>
        <c:manualLayout>
          <c:layoutTarget val="inner"/>
          <c:xMode val="edge"/>
          <c:yMode val="edge"/>
          <c:x val="0.22134667541557304"/>
          <c:y val="0.179951516477107"/>
          <c:w val="0.41147353455818025"/>
          <c:h val="0.68578922426363376"/>
        </c:manualLayout>
      </c:layout>
      <c:pieChart>
        <c:varyColors val="1"/>
        <c:ser>
          <c:idx val="0"/>
          <c:order val="0"/>
          <c:tx>
            <c:strRef>
              <c:f>'Pivot Report'!$O$40</c:f>
              <c:strCache>
                <c:ptCount val="1"/>
                <c:pt idx="0">
                  <c:v>Total</c:v>
                </c:pt>
              </c:strCache>
            </c:strRef>
          </c:tx>
          <c:spPr>
            <a:ln>
              <a:solidFill>
                <a:schemeClr val="accent1">
                  <a:alpha val="96000"/>
                </a:schemeClr>
              </a:solidFill>
            </a:ln>
          </c:spPr>
          <c:dPt>
            <c:idx val="0"/>
            <c:bubble3D val="0"/>
            <c:spPr>
              <a:solidFill>
                <a:schemeClr val="accent1"/>
              </a:solidFill>
              <a:ln w="19050">
                <a:solidFill>
                  <a:schemeClr val="accent1">
                    <a:alpha val="96000"/>
                  </a:schemeClr>
                </a:solidFill>
              </a:ln>
              <a:effectLst/>
            </c:spPr>
            <c:extLst>
              <c:ext xmlns:c16="http://schemas.microsoft.com/office/drawing/2014/chart" uri="{C3380CC4-5D6E-409C-BE32-E72D297353CC}">
                <c16:uniqueId val="{00000001-69A7-40C6-992D-D2CC4914AC11}"/>
              </c:ext>
            </c:extLst>
          </c:dPt>
          <c:dPt>
            <c:idx val="1"/>
            <c:bubble3D val="0"/>
            <c:spPr>
              <a:solidFill>
                <a:schemeClr val="accent2"/>
              </a:solidFill>
              <a:ln w="19050">
                <a:solidFill>
                  <a:schemeClr val="accent1">
                    <a:alpha val="96000"/>
                  </a:schemeClr>
                </a:solidFill>
              </a:ln>
              <a:effectLst/>
            </c:spPr>
            <c:extLst>
              <c:ext xmlns:c16="http://schemas.microsoft.com/office/drawing/2014/chart" uri="{C3380CC4-5D6E-409C-BE32-E72D297353CC}">
                <c16:uniqueId val="{00000003-69A7-40C6-992D-D2CC4914AC1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Report'!$N$41:$N$43</c:f>
              <c:strCache>
                <c:ptCount val="2"/>
                <c:pt idx="0">
                  <c:v>Female</c:v>
                </c:pt>
                <c:pt idx="1">
                  <c:v>Male</c:v>
                </c:pt>
              </c:strCache>
            </c:strRef>
          </c:cat>
          <c:val>
            <c:numRef>
              <c:f>'Pivot Report'!$O$41:$O$43</c:f>
              <c:numCache>
                <c:formatCode>0.00</c:formatCode>
                <c:ptCount val="2"/>
                <c:pt idx="0">
                  <c:v>241</c:v>
                </c:pt>
                <c:pt idx="1">
                  <c:v>272</c:v>
                </c:pt>
              </c:numCache>
            </c:numRef>
          </c:val>
          <c:extLst>
            <c:ext xmlns:c16="http://schemas.microsoft.com/office/drawing/2014/chart" uri="{C3380CC4-5D6E-409C-BE32-E72D297353CC}">
              <c16:uniqueId val="{00000004-D036-4983-A001-B84C340871AB}"/>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17915551318250156"/>
          <c:y val="5.613199424861029E-2"/>
          <c:w val="0.35345046943182168"/>
          <c:h val="0.313348383210419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emergency.xlsx]Pivot Report!PivotTable10</c:name>
    <c:fmtId val="6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9068671538821961"/>
          <c:y val="0.32475724894577751"/>
          <c:w val="0.40162900350601299"/>
          <c:h val="0.44527297831846846"/>
        </c:manualLayout>
      </c:layout>
      <c:pieChart>
        <c:varyColors val="1"/>
        <c:ser>
          <c:idx val="0"/>
          <c:order val="0"/>
          <c:tx>
            <c:strRef>
              <c:f>'Pivot Report'!$T$40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A69-4B6D-830A-8A31A8C0AD1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A69-4B6D-830A-8A31A8C0AD1E}"/>
              </c:ext>
            </c:extLst>
          </c:dPt>
          <c:dLbls>
            <c:dLbl>
              <c:idx val="0"/>
              <c:dLblPos val="inEnd"/>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A69-4B6D-830A-8A31A8C0AD1E}"/>
                </c:ext>
              </c:extLst>
            </c:dLbl>
            <c:dLbl>
              <c:idx val="1"/>
              <c:dLblPos val="inEnd"/>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A69-4B6D-830A-8A31A8C0AD1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Report'!$S$41:$S$43</c:f>
              <c:strCache>
                <c:ptCount val="2"/>
                <c:pt idx="0">
                  <c:v>Delay</c:v>
                </c:pt>
                <c:pt idx="1">
                  <c:v>Ontime</c:v>
                </c:pt>
              </c:strCache>
            </c:strRef>
          </c:cat>
          <c:val>
            <c:numRef>
              <c:f>'Pivot Report'!$T$41:$T$43</c:f>
              <c:numCache>
                <c:formatCode>0.00</c:formatCode>
                <c:ptCount val="2"/>
                <c:pt idx="0">
                  <c:v>316</c:v>
                </c:pt>
                <c:pt idx="1">
                  <c:v>197</c:v>
                </c:pt>
              </c:numCache>
            </c:numRef>
          </c:val>
          <c:extLst>
            <c:ext xmlns:c16="http://schemas.microsoft.com/office/drawing/2014/chart" uri="{C3380CC4-5D6E-409C-BE32-E72D297353CC}">
              <c16:uniqueId val="{00000004-A7A1-4CB0-B1B8-174DBB9136D4}"/>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8.8952192760729173E-2"/>
          <c:y val="2.364718494695205E-2"/>
          <c:w val="0.35896366448324829"/>
          <c:h val="0.321941920544276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emergency.xlsx]Pivot Report!PivotTable11</c:name>
    <c:fmtId val="6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Report'!$O$59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Report'!$N$60:$N$68</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'Pivot Report'!$O$60:$O$68</c:f>
              <c:numCache>
                <c:formatCode>0</c:formatCode>
                <c:ptCount val="8"/>
                <c:pt idx="0">
                  <c:v>14</c:v>
                </c:pt>
                <c:pt idx="1">
                  <c:v>4</c:v>
                </c:pt>
                <c:pt idx="2">
                  <c:v>103</c:v>
                </c:pt>
                <c:pt idx="3">
                  <c:v>9</c:v>
                </c:pt>
                <c:pt idx="4">
                  <c:v>299</c:v>
                </c:pt>
                <c:pt idx="5">
                  <c:v>65</c:v>
                </c:pt>
                <c:pt idx="6">
                  <c:v>14</c:v>
                </c:pt>
                <c:pt idx="7">
                  <c:v>5</c:v>
                </c:pt>
              </c:numCache>
            </c:numRef>
          </c:val>
          <c:extLst>
            <c:ext xmlns:c16="http://schemas.microsoft.com/office/drawing/2014/chart" uri="{C3380CC4-5D6E-409C-BE32-E72D297353CC}">
              <c16:uniqueId val="{00000000-AFBB-4562-A640-27B4D7504FB1}"/>
            </c:ext>
          </c:extLst>
        </c:ser>
        <c:dLbls>
          <c:showLegendKey val="0"/>
          <c:showVal val="0"/>
          <c:showCatName val="0"/>
          <c:showSerName val="0"/>
          <c:showPercent val="0"/>
          <c:showBubbleSize val="0"/>
        </c:dLbls>
        <c:gapWidth val="182"/>
        <c:axId val="652478800"/>
        <c:axId val="652495600"/>
      </c:barChart>
      <c:catAx>
        <c:axId val="652478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495600"/>
        <c:crosses val="autoZero"/>
        <c:auto val="1"/>
        <c:lblAlgn val="ctr"/>
        <c:lblOffset val="100"/>
        <c:noMultiLvlLbl val="0"/>
      </c:catAx>
      <c:valAx>
        <c:axId val="652495600"/>
        <c:scaling>
          <c:orientation val="minMax"/>
        </c:scaling>
        <c:delete val="1"/>
        <c:axPos val="b"/>
        <c:numFmt formatCode="0" sourceLinked="1"/>
        <c:majorTickMark val="none"/>
        <c:minorTickMark val="none"/>
        <c:tickLblPos val="nextTo"/>
        <c:crossAx val="652478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emergency.xlsx]Pivot Report!PivotTable6</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776740505027681E-2"/>
          <c:y val="5.3067222127448112E-2"/>
          <c:w val="0.97064890027702688"/>
          <c:h val="0.89981282140819885"/>
        </c:manualLayout>
      </c:layout>
      <c:areaChart>
        <c:grouping val="standard"/>
        <c:varyColors val="0"/>
        <c:ser>
          <c:idx val="0"/>
          <c:order val="0"/>
          <c:tx>
            <c:strRef>
              <c:f>'Pivot Report'!$R$4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Report'!$Q$5:$Q$36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Report'!$R$5:$R$36</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0-CD52-4711-B78A-7BD6EAEA6F43}"/>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988601552"/>
        <c:axId val="988605392"/>
      </c:areaChart>
      <c:catAx>
        <c:axId val="98860155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88605392"/>
        <c:crosses val="autoZero"/>
        <c:auto val="1"/>
        <c:lblAlgn val="ctr"/>
        <c:lblOffset val="100"/>
        <c:noMultiLvlLbl val="0"/>
      </c:catAx>
      <c:valAx>
        <c:axId val="988605392"/>
        <c:scaling>
          <c:orientation val="minMax"/>
        </c:scaling>
        <c:delete val="1"/>
        <c:axPos val="l"/>
        <c:numFmt formatCode="0.00" sourceLinked="1"/>
        <c:majorTickMark val="out"/>
        <c:minorTickMark val="none"/>
        <c:tickLblPos val="nextTo"/>
        <c:crossAx val="9886015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emergency.xlsx]Pivot Report!PivotTable2</c:name>
    <c:fmtId val="3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Report'!$F$4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Report'!$E$5:$E$36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Report'!$F$5:$F$36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F940-4236-B254-BF16870A04AF}"/>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549247551"/>
        <c:axId val="1288131343"/>
      </c:areaChart>
      <c:catAx>
        <c:axId val="154924755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88131343"/>
        <c:crosses val="autoZero"/>
        <c:auto val="1"/>
        <c:lblAlgn val="ctr"/>
        <c:lblOffset val="100"/>
        <c:noMultiLvlLbl val="0"/>
      </c:catAx>
      <c:valAx>
        <c:axId val="1288131343"/>
        <c:scaling>
          <c:orientation val="minMax"/>
        </c:scaling>
        <c:delete val="1"/>
        <c:axPos val="l"/>
        <c:numFmt formatCode="General" sourceLinked="1"/>
        <c:majorTickMark val="out"/>
        <c:minorTickMark val="none"/>
        <c:tickLblPos val="nextTo"/>
        <c:crossAx val="154924755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emergency.xlsx]Pivot Report!PivotTable4</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736255743354703E-2"/>
          <c:y val="0.10042679077467927"/>
          <c:w val="0.95622371111066129"/>
          <c:h val="0.77870662000583257"/>
        </c:manualLayout>
      </c:layout>
      <c:areaChart>
        <c:grouping val="standard"/>
        <c:varyColors val="0"/>
        <c:ser>
          <c:idx val="0"/>
          <c:order val="0"/>
          <c:tx>
            <c:strRef>
              <c:f>'Pivot Report'!$K$4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Report'!$J$5:$J$36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Report'!$K$5:$K$36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0-A774-44CB-BC3E-697724D6E5A8}"/>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89670400"/>
        <c:axId val="589682400"/>
      </c:areaChart>
      <c:catAx>
        <c:axId val="58967040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89682400"/>
        <c:crosses val="autoZero"/>
        <c:auto val="1"/>
        <c:lblAlgn val="ctr"/>
        <c:lblOffset val="100"/>
        <c:noMultiLvlLbl val="0"/>
      </c:catAx>
      <c:valAx>
        <c:axId val="589682400"/>
        <c:scaling>
          <c:orientation val="minMax"/>
        </c:scaling>
        <c:delete val="1"/>
        <c:axPos val="l"/>
        <c:numFmt formatCode="0.00" sourceLinked="1"/>
        <c:majorTickMark val="out"/>
        <c:minorTickMark val="none"/>
        <c:tickLblPos val="nextTo"/>
        <c:crossAx val="58967040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hyperlink" Target="#'Daily Trend '!A1"/><Relationship Id="rId13" Type="http://schemas.openxmlformats.org/officeDocument/2006/relationships/chart" Target="../charts/chart8.xml"/><Relationship Id="rId18" Type="http://schemas.openxmlformats.org/officeDocument/2006/relationships/image" Target="../media/image8.emf"/><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daily satisfaction score'!A1"/><Relationship Id="rId17" Type="http://schemas.openxmlformats.org/officeDocument/2006/relationships/chart" Target="../charts/chart12.xml"/><Relationship Id="rId2" Type="http://schemas.openxmlformats.org/officeDocument/2006/relationships/image" Target="../media/image2.png"/><Relationship Id="rId16" Type="http://schemas.openxmlformats.org/officeDocument/2006/relationships/chart" Target="../charts/chart11.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7.xml"/><Relationship Id="rId5" Type="http://schemas.openxmlformats.org/officeDocument/2006/relationships/image" Target="../media/image5.svg"/><Relationship Id="rId15" Type="http://schemas.openxmlformats.org/officeDocument/2006/relationships/chart" Target="../charts/chart10.xml"/><Relationship Id="rId10" Type="http://schemas.openxmlformats.org/officeDocument/2006/relationships/hyperlink" Target="#'AVG wait time daily '!A1"/><Relationship Id="rId4" Type="http://schemas.openxmlformats.org/officeDocument/2006/relationships/image" Target="../media/image4.png"/><Relationship Id="rId9" Type="http://schemas.openxmlformats.org/officeDocument/2006/relationships/chart" Target="../charts/chart6.xml"/><Relationship Id="rId1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3.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5.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5.xml"/><Relationship Id="rId4" Type="http://schemas.openxmlformats.org/officeDocument/2006/relationships/image" Target="../media/image11.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3</xdr:col>
      <xdr:colOff>538163</xdr:colOff>
      <xdr:row>44</xdr:row>
      <xdr:rowOff>104775</xdr:rowOff>
    </xdr:from>
    <xdr:to>
      <xdr:col>7</xdr:col>
      <xdr:colOff>71437</xdr:colOff>
      <xdr:row>48</xdr:row>
      <xdr:rowOff>119063</xdr:rowOff>
    </xdr:to>
    <xdr:graphicFrame macro="">
      <xdr:nvGraphicFramePr>
        <xdr:cNvPr id="3" name="Chart 2">
          <a:extLst>
            <a:ext uri="{FF2B5EF4-FFF2-40B4-BE49-F238E27FC236}">
              <a16:creationId xmlns:a16="http://schemas.microsoft.com/office/drawing/2014/main" id="{9486BC69-DF42-89A9-8B7D-1B1BF024EA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645317</xdr:colOff>
      <xdr:row>51</xdr:row>
      <xdr:rowOff>104774</xdr:rowOff>
    </xdr:from>
    <xdr:to>
      <xdr:col>11</xdr:col>
      <xdr:colOff>73817</xdr:colOff>
      <xdr:row>66</xdr:row>
      <xdr:rowOff>57150</xdr:rowOff>
    </xdr:to>
    <xdr:graphicFrame macro="">
      <xdr:nvGraphicFramePr>
        <xdr:cNvPr id="2" name="Chart 1">
          <a:extLst>
            <a:ext uri="{FF2B5EF4-FFF2-40B4-BE49-F238E27FC236}">
              <a16:creationId xmlns:a16="http://schemas.microsoft.com/office/drawing/2014/main" id="{F50BAC83-EDAF-9CB2-21F6-5924422AAA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342902</xdr:colOff>
      <xdr:row>43</xdr:row>
      <xdr:rowOff>152401</xdr:rowOff>
    </xdr:from>
    <xdr:to>
      <xdr:col>15</xdr:col>
      <xdr:colOff>266702</xdr:colOff>
      <xdr:row>53</xdr:row>
      <xdr:rowOff>166688</xdr:rowOff>
    </xdr:to>
    <xdr:graphicFrame macro="">
      <xdr:nvGraphicFramePr>
        <xdr:cNvPr id="4" name="Chart 3">
          <a:extLst>
            <a:ext uri="{FF2B5EF4-FFF2-40B4-BE49-F238E27FC236}">
              <a16:creationId xmlns:a16="http://schemas.microsoft.com/office/drawing/2014/main" id="{DDA61785-CBFB-D535-CA08-53AB17D140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1081089</xdr:colOff>
      <xdr:row>43</xdr:row>
      <xdr:rowOff>161925</xdr:rowOff>
    </xdr:from>
    <xdr:to>
      <xdr:col>19</xdr:col>
      <xdr:colOff>623888</xdr:colOff>
      <xdr:row>53</xdr:row>
      <xdr:rowOff>57150</xdr:rowOff>
    </xdr:to>
    <xdr:graphicFrame macro="">
      <xdr:nvGraphicFramePr>
        <xdr:cNvPr id="5" name="Chart 4">
          <a:extLst>
            <a:ext uri="{FF2B5EF4-FFF2-40B4-BE49-F238E27FC236}">
              <a16:creationId xmlns:a16="http://schemas.microsoft.com/office/drawing/2014/main" id="{D2734912-005B-5EC9-A127-678117B9F9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583405</xdr:colOff>
      <xdr:row>69</xdr:row>
      <xdr:rowOff>147638</xdr:rowOff>
    </xdr:from>
    <xdr:to>
      <xdr:col>16</xdr:col>
      <xdr:colOff>1259680</xdr:colOff>
      <xdr:row>84</xdr:row>
      <xdr:rowOff>176213</xdr:rowOff>
    </xdr:to>
    <xdr:graphicFrame macro="">
      <xdr:nvGraphicFramePr>
        <xdr:cNvPr id="6" name="Chart 5">
          <a:extLst>
            <a:ext uri="{FF2B5EF4-FFF2-40B4-BE49-F238E27FC236}">
              <a16:creationId xmlns:a16="http://schemas.microsoft.com/office/drawing/2014/main" id="{BD7FF2B0-D3D1-5B0C-075B-3E38E3C5CB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295277</xdr:colOff>
      <xdr:row>56</xdr:row>
      <xdr:rowOff>176213</xdr:rowOff>
    </xdr:from>
    <xdr:to>
      <xdr:col>21</xdr:col>
      <xdr:colOff>285751</xdr:colOff>
      <xdr:row>61</xdr:row>
      <xdr:rowOff>138112</xdr:rowOff>
    </xdr:to>
    <mc:AlternateContent xmlns:mc="http://schemas.openxmlformats.org/markup-compatibility/2006" xmlns:a14="http://schemas.microsoft.com/office/drawing/2010/main">
      <mc:Choice Requires="a14">
        <xdr:graphicFrame macro="">
          <xdr:nvGraphicFramePr>
            <xdr:cNvPr id="7" name="Date (Year)">
              <a:extLst>
                <a:ext uri="{FF2B5EF4-FFF2-40B4-BE49-F238E27FC236}">
                  <a16:creationId xmlns:a16="http://schemas.microsoft.com/office/drawing/2014/main" id="{6EABD8C3-48A2-00B1-84E3-76B928E7CA58}"/>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13296902" y="10310813"/>
              <a:ext cx="1285874" cy="8667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62820</xdr:colOff>
      <xdr:row>0</xdr:row>
      <xdr:rowOff>98652</xdr:rowOff>
    </xdr:from>
    <xdr:to>
      <xdr:col>5</xdr:col>
      <xdr:colOff>62821</xdr:colOff>
      <xdr:row>3</xdr:row>
      <xdr:rowOff>74840</xdr:rowOff>
    </xdr:to>
    <xdr:sp macro="" textlink="">
      <xdr:nvSpPr>
        <xdr:cNvPr id="2" name="Rectangle: Rounded Corners 1">
          <a:extLst>
            <a:ext uri="{FF2B5EF4-FFF2-40B4-BE49-F238E27FC236}">
              <a16:creationId xmlns:a16="http://schemas.microsoft.com/office/drawing/2014/main" id="{B6B90D26-C3BD-5414-9F1F-E2D83BCF03C4}"/>
            </a:ext>
          </a:extLst>
        </xdr:cNvPr>
        <xdr:cNvSpPr/>
      </xdr:nvSpPr>
      <xdr:spPr>
        <a:xfrm>
          <a:off x="62820" y="98652"/>
          <a:ext cx="3238501" cy="519113"/>
        </a:xfrm>
        <a:prstGeom prst="roundRect">
          <a:avLst>
            <a:gd name="adj" fmla="val 1116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187778</xdr:colOff>
      <xdr:row>0</xdr:row>
      <xdr:rowOff>96383</xdr:rowOff>
    </xdr:from>
    <xdr:to>
      <xdr:col>9</xdr:col>
      <xdr:colOff>406626</xdr:colOff>
      <xdr:row>8</xdr:row>
      <xdr:rowOff>31749</xdr:rowOff>
    </xdr:to>
    <xdr:sp macro="" textlink="">
      <xdr:nvSpPr>
        <xdr:cNvPr id="3" name="Rectangle: Rounded Corners 2">
          <a:extLst>
            <a:ext uri="{FF2B5EF4-FFF2-40B4-BE49-F238E27FC236}">
              <a16:creationId xmlns:a16="http://schemas.microsoft.com/office/drawing/2014/main" id="{6DD7EC64-A758-45DA-A114-EAB6C730D13E}"/>
            </a:ext>
          </a:extLst>
        </xdr:cNvPr>
        <xdr:cNvSpPr/>
      </xdr:nvSpPr>
      <xdr:spPr>
        <a:xfrm>
          <a:off x="4721678" y="96383"/>
          <a:ext cx="1514248" cy="1383166"/>
        </a:xfrm>
        <a:prstGeom prst="roundRect">
          <a:avLst>
            <a:gd name="adj" fmla="val 564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172812</xdr:colOff>
      <xdr:row>0</xdr:row>
      <xdr:rowOff>104547</xdr:rowOff>
    </xdr:from>
    <xdr:to>
      <xdr:col>7</xdr:col>
      <xdr:colOff>21998</xdr:colOff>
      <xdr:row>3</xdr:row>
      <xdr:rowOff>80735</xdr:rowOff>
    </xdr:to>
    <xdr:sp macro="" textlink="">
      <xdr:nvSpPr>
        <xdr:cNvPr id="5" name="Rectangle: Rounded Corners 4">
          <a:extLst>
            <a:ext uri="{FF2B5EF4-FFF2-40B4-BE49-F238E27FC236}">
              <a16:creationId xmlns:a16="http://schemas.microsoft.com/office/drawing/2014/main" id="{3F9EEEC0-E86E-4A8E-8F43-5E473B5A859F}"/>
            </a:ext>
          </a:extLst>
        </xdr:cNvPr>
        <xdr:cNvSpPr/>
      </xdr:nvSpPr>
      <xdr:spPr>
        <a:xfrm>
          <a:off x="3411312" y="104547"/>
          <a:ext cx="1144586" cy="519113"/>
        </a:xfrm>
        <a:prstGeom prst="roundRect">
          <a:avLst>
            <a:gd name="adj" fmla="val 993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468766</xdr:colOff>
      <xdr:row>0</xdr:row>
      <xdr:rowOff>96837</xdr:rowOff>
    </xdr:from>
    <xdr:to>
      <xdr:col>12</xdr:col>
      <xdr:colOff>46945</xdr:colOff>
      <xdr:row>8</xdr:row>
      <xdr:rowOff>32203</xdr:rowOff>
    </xdr:to>
    <xdr:sp macro="" textlink="">
      <xdr:nvSpPr>
        <xdr:cNvPr id="6" name="Rectangle: Rounded Corners 5">
          <a:extLst>
            <a:ext uri="{FF2B5EF4-FFF2-40B4-BE49-F238E27FC236}">
              <a16:creationId xmlns:a16="http://schemas.microsoft.com/office/drawing/2014/main" id="{0CE9DEB2-3FB8-BA38-8AC1-EED092E2B7CA}"/>
            </a:ext>
          </a:extLst>
        </xdr:cNvPr>
        <xdr:cNvSpPr/>
      </xdr:nvSpPr>
      <xdr:spPr>
        <a:xfrm>
          <a:off x="6298066" y="96837"/>
          <a:ext cx="1521279" cy="1383166"/>
        </a:xfrm>
        <a:prstGeom prst="roundRect">
          <a:avLst>
            <a:gd name="adj" fmla="val 335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41274</xdr:colOff>
      <xdr:row>3</xdr:row>
      <xdr:rowOff>174625</xdr:rowOff>
    </xdr:from>
    <xdr:to>
      <xdr:col>1</xdr:col>
      <xdr:colOff>203199</xdr:colOff>
      <xdr:row>18</xdr:row>
      <xdr:rowOff>165100</xdr:rowOff>
    </xdr:to>
    <xdr:sp macro="" textlink="">
      <xdr:nvSpPr>
        <xdr:cNvPr id="7" name="Rectangle: Rounded Corners 6">
          <a:extLst>
            <a:ext uri="{FF2B5EF4-FFF2-40B4-BE49-F238E27FC236}">
              <a16:creationId xmlns:a16="http://schemas.microsoft.com/office/drawing/2014/main" id="{FB116B0E-EBFC-F762-793D-F0FD2267E767}"/>
            </a:ext>
          </a:extLst>
        </xdr:cNvPr>
        <xdr:cNvSpPr/>
      </xdr:nvSpPr>
      <xdr:spPr>
        <a:xfrm>
          <a:off x="41274" y="717550"/>
          <a:ext cx="809625" cy="2705100"/>
        </a:xfrm>
        <a:prstGeom prst="roundRect">
          <a:avLst>
            <a:gd name="adj" fmla="val 823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269422</xdr:colOff>
      <xdr:row>4</xdr:row>
      <xdr:rowOff>3854</xdr:rowOff>
    </xdr:from>
    <xdr:to>
      <xdr:col>3</xdr:col>
      <xdr:colOff>153761</xdr:colOff>
      <xdr:row>9</xdr:row>
      <xdr:rowOff>51481</xdr:rowOff>
    </xdr:to>
    <xdr:sp macro="" textlink="">
      <xdr:nvSpPr>
        <xdr:cNvPr id="8" name="Rectangle: Rounded Corners 7">
          <a:extLst>
            <a:ext uri="{FF2B5EF4-FFF2-40B4-BE49-F238E27FC236}">
              <a16:creationId xmlns:a16="http://schemas.microsoft.com/office/drawing/2014/main" id="{1B2798A8-44E1-2D54-3FE3-7875D2B46B1E}"/>
            </a:ext>
          </a:extLst>
        </xdr:cNvPr>
        <xdr:cNvSpPr/>
      </xdr:nvSpPr>
      <xdr:spPr>
        <a:xfrm>
          <a:off x="917122" y="727754"/>
          <a:ext cx="1179739" cy="952502"/>
        </a:xfrm>
        <a:prstGeom prst="roundRect">
          <a:avLst>
            <a:gd name="adj" fmla="val 46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207044</xdr:colOff>
      <xdr:row>4</xdr:row>
      <xdr:rowOff>0</xdr:rowOff>
    </xdr:from>
    <xdr:to>
      <xdr:col>7</xdr:col>
      <xdr:colOff>53520</xdr:colOff>
      <xdr:row>9</xdr:row>
      <xdr:rowOff>63727</xdr:rowOff>
    </xdr:to>
    <xdr:sp macro="" textlink="">
      <xdr:nvSpPr>
        <xdr:cNvPr id="9" name="Rectangle: Rounded Corners 8">
          <a:extLst>
            <a:ext uri="{FF2B5EF4-FFF2-40B4-BE49-F238E27FC236}">
              <a16:creationId xmlns:a16="http://schemas.microsoft.com/office/drawing/2014/main" id="{70D8F8F0-F710-27E9-848F-60FBBFCBF9D7}"/>
            </a:ext>
          </a:extLst>
        </xdr:cNvPr>
        <xdr:cNvSpPr/>
      </xdr:nvSpPr>
      <xdr:spPr>
        <a:xfrm>
          <a:off x="3445544" y="723900"/>
          <a:ext cx="1141876" cy="968602"/>
        </a:xfrm>
        <a:prstGeom prst="roundRect">
          <a:avLst>
            <a:gd name="adj" fmla="val 242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240954</xdr:colOff>
      <xdr:row>4</xdr:row>
      <xdr:rowOff>3400</xdr:rowOff>
    </xdr:from>
    <xdr:to>
      <xdr:col>5</xdr:col>
      <xdr:colOff>116568</xdr:colOff>
      <xdr:row>9</xdr:row>
      <xdr:rowOff>51027</xdr:rowOff>
    </xdr:to>
    <xdr:sp macro="" textlink="">
      <xdr:nvSpPr>
        <xdr:cNvPr id="10" name="Rectangle: Rounded Corners 9">
          <a:extLst>
            <a:ext uri="{FF2B5EF4-FFF2-40B4-BE49-F238E27FC236}">
              <a16:creationId xmlns:a16="http://schemas.microsoft.com/office/drawing/2014/main" id="{AAC888F0-EF08-1DD2-3CE5-BEFC2D3FE585}"/>
            </a:ext>
          </a:extLst>
        </xdr:cNvPr>
        <xdr:cNvSpPr/>
      </xdr:nvSpPr>
      <xdr:spPr>
        <a:xfrm>
          <a:off x="2184054" y="727300"/>
          <a:ext cx="1171014" cy="952502"/>
        </a:xfrm>
        <a:prstGeom prst="roundRect">
          <a:avLst>
            <a:gd name="adj" fmla="val 4334"/>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241526</xdr:colOff>
      <xdr:row>12</xdr:row>
      <xdr:rowOff>158750</xdr:rowOff>
    </xdr:from>
    <xdr:to>
      <xdr:col>7</xdr:col>
      <xdr:colOff>57830</xdr:colOff>
      <xdr:row>18</xdr:row>
      <xdr:rowOff>136072</xdr:rowOff>
    </xdr:to>
    <xdr:sp macro="" textlink="">
      <xdr:nvSpPr>
        <xdr:cNvPr id="12" name="Rectangle: Rounded Corners 11">
          <a:extLst>
            <a:ext uri="{FF2B5EF4-FFF2-40B4-BE49-F238E27FC236}">
              <a16:creationId xmlns:a16="http://schemas.microsoft.com/office/drawing/2014/main" id="{5DED7DB1-86A2-B6E5-5366-8C307DE3A4C4}"/>
            </a:ext>
          </a:extLst>
        </xdr:cNvPr>
        <xdr:cNvSpPr/>
      </xdr:nvSpPr>
      <xdr:spPr>
        <a:xfrm>
          <a:off x="889226" y="2330450"/>
          <a:ext cx="3702504" cy="1063172"/>
        </a:xfrm>
        <a:prstGeom prst="roundRect">
          <a:avLst>
            <a:gd name="adj" fmla="val 4346"/>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251278</xdr:colOff>
      <xdr:row>9</xdr:row>
      <xdr:rowOff>110443</xdr:rowOff>
    </xdr:from>
    <xdr:to>
      <xdr:col>7</xdr:col>
      <xdr:colOff>67582</xdr:colOff>
      <xdr:row>12</xdr:row>
      <xdr:rowOff>79828</xdr:rowOff>
    </xdr:to>
    <xdr:sp macro="" textlink="">
      <xdr:nvSpPr>
        <xdr:cNvPr id="13" name="Rectangle: Rounded Corners 12">
          <a:extLst>
            <a:ext uri="{FF2B5EF4-FFF2-40B4-BE49-F238E27FC236}">
              <a16:creationId xmlns:a16="http://schemas.microsoft.com/office/drawing/2014/main" id="{F4ED40E6-69BF-3DD6-FFE9-D9EDFC4467C6}"/>
            </a:ext>
          </a:extLst>
        </xdr:cNvPr>
        <xdr:cNvSpPr/>
      </xdr:nvSpPr>
      <xdr:spPr>
        <a:xfrm>
          <a:off x="898978" y="1739218"/>
          <a:ext cx="3702504" cy="512310"/>
        </a:xfrm>
        <a:prstGeom prst="roundRect">
          <a:avLst>
            <a:gd name="adj" fmla="val 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104775</xdr:colOff>
      <xdr:row>0</xdr:row>
      <xdr:rowOff>6350</xdr:rowOff>
    </xdr:from>
    <xdr:to>
      <xdr:col>7</xdr:col>
      <xdr:colOff>133350</xdr:colOff>
      <xdr:row>18</xdr:row>
      <xdr:rowOff>168275</xdr:rowOff>
    </xdr:to>
    <xdr:cxnSp macro="">
      <xdr:nvCxnSpPr>
        <xdr:cNvPr id="15" name="Straight Connector 14">
          <a:extLst>
            <a:ext uri="{FF2B5EF4-FFF2-40B4-BE49-F238E27FC236}">
              <a16:creationId xmlns:a16="http://schemas.microsoft.com/office/drawing/2014/main" id="{71C4AC4F-BAFA-CF4C-DF79-D40A5D5FFFB7}"/>
            </a:ext>
          </a:extLst>
        </xdr:cNvPr>
        <xdr:cNvCxnSpPr/>
      </xdr:nvCxnSpPr>
      <xdr:spPr>
        <a:xfrm>
          <a:off x="4638675" y="6350"/>
          <a:ext cx="28575" cy="3419475"/>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7</xdr:col>
      <xdr:colOff>182110</xdr:colOff>
      <xdr:row>8</xdr:row>
      <xdr:rowOff>167593</xdr:rowOff>
    </xdr:from>
    <xdr:to>
      <xdr:col>12</xdr:col>
      <xdr:colOff>60780</xdr:colOff>
      <xdr:row>18</xdr:row>
      <xdr:rowOff>143781</xdr:rowOff>
    </xdr:to>
    <xdr:sp macro="" textlink="">
      <xdr:nvSpPr>
        <xdr:cNvPr id="23" name="Rectangle: Rounded Corners 22">
          <a:extLst>
            <a:ext uri="{FF2B5EF4-FFF2-40B4-BE49-F238E27FC236}">
              <a16:creationId xmlns:a16="http://schemas.microsoft.com/office/drawing/2014/main" id="{8624950F-DD7D-AFA3-BEF7-930F0FA6060C}"/>
            </a:ext>
          </a:extLst>
        </xdr:cNvPr>
        <xdr:cNvSpPr/>
      </xdr:nvSpPr>
      <xdr:spPr>
        <a:xfrm>
          <a:off x="4716010" y="1615393"/>
          <a:ext cx="3117170" cy="1785938"/>
        </a:xfrm>
        <a:prstGeom prst="roundRect">
          <a:avLst>
            <a:gd name="adj" fmla="val 3156"/>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625475</xdr:colOff>
      <xdr:row>0</xdr:row>
      <xdr:rowOff>149227</xdr:rowOff>
    </xdr:from>
    <xdr:to>
      <xdr:col>4</xdr:col>
      <xdr:colOff>619124</xdr:colOff>
      <xdr:row>2</xdr:row>
      <xdr:rowOff>24872</xdr:rowOff>
    </xdr:to>
    <xdr:sp macro="" textlink="">
      <xdr:nvSpPr>
        <xdr:cNvPr id="4" name="TextBox 3">
          <a:extLst>
            <a:ext uri="{FF2B5EF4-FFF2-40B4-BE49-F238E27FC236}">
              <a16:creationId xmlns:a16="http://schemas.microsoft.com/office/drawing/2014/main" id="{E1FD517A-71E4-B5B8-3E94-FBF3CAE03E4D}"/>
            </a:ext>
          </a:extLst>
        </xdr:cNvPr>
        <xdr:cNvSpPr txBox="1"/>
      </xdr:nvSpPr>
      <xdr:spPr>
        <a:xfrm>
          <a:off x="625475" y="149227"/>
          <a:ext cx="2584449" cy="237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1">
              <a:latin typeface="Segoe UI Light" panose="020B0502040204020203" pitchFamily="34" charset="0"/>
              <a:cs typeface="Segoe UI Light" panose="020B0502040204020203" pitchFamily="34" charset="0"/>
            </a:rPr>
            <a:t>    </a:t>
          </a:r>
          <a:r>
            <a:rPr lang="en-IN" sz="1100" b="1" u="none">
              <a:latin typeface="+mn-lt"/>
              <a:cs typeface="Segoe UI Light" panose="020B0502040204020203" pitchFamily="34" charset="0"/>
            </a:rPr>
            <a:t>Hospital </a:t>
          </a:r>
          <a:r>
            <a:rPr lang="en-IN" sz="1100" b="1" u="none">
              <a:solidFill>
                <a:schemeClr val="dk1"/>
              </a:solidFill>
              <a:latin typeface="+mn-lt"/>
              <a:cs typeface="Segoe UI Light" panose="020B0502040204020203" pitchFamily="34" charset="0"/>
            </a:rPr>
            <a:t>Emergency</a:t>
          </a:r>
          <a:r>
            <a:rPr lang="en-IN" sz="1100" b="1" u="none" baseline="0">
              <a:latin typeface="+mn-lt"/>
              <a:cs typeface="Segoe UI Light" panose="020B0502040204020203" pitchFamily="34" charset="0"/>
            </a:rPr>
            <a:t> Room </a:t>
          </a:r>
          <a:r>
            <a:rPr lang="en-IN" sz="1100" b="1" u="none" baseline="0">
              <a:ln>
                <a:noFill/>
              </a:ln>
              <a:latin typeface="+mn-lt"/>
              <a:cs typeface="Segoe UI Light" panose="020B0502040204020203" pitchFamily="34" charset="0"/>
            </a:rPr>
            <a:t>Dashboard</a:t>
          </a:r>
          <a:endParaRPr lang="en-IN" sz="1100" b="1" u="none">
            <a:ln>
              <a:noFill/>
            </a:ln>
            <a:latin typeface="+mn-lt"/>
            <a:cs typeface="Segoe UI Light" panose="020B0502040204020203" pitchFamily="34" charset="0"/>
          </a:endParaRPr>
        </a:p>
      </xdr:txBody>
    </xdr:sp>
    <xdr:clientData/>
  </xdr:twoCellAnchor>
  <xdr:twoCellAnchor editAs="oneCell">
    <xdr:from>
      <xdr:col>0</xdr:col>
      <xdr:colOff>12700</xdr:colOff>
      <xdr:row>0</xdr:row>
      <xdr:rowOff>136525</xdr:rowOff>
    </xdr:from>
    <xdr:to>
      <xdr:col>1</xdr:col>
      <xdr:colOff>254000</xdr:colOff>
      <xdr:row>3</xdr:row>
      <xdr:rowOff>86473</xdr:rowOff>
    </xdr:to>
    <xdr:pic>
      <xdr:nvPicPr>
        <xdr:cNvPr id="14" name="Picture 13">
          <a:extLst>
            <a:ext uri="{FF2B5EF4-FFF2-40B4-BE49-F238E27FC236}">
              <a16:creationId xmlns:a16="http://schemas.microsoft.com/office/drawing/2014/main" id="{3663292E-ECB6-815C-5B56-5169FE51C65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325" r="-4714"/>
        <a:stretch>
          <a:fillRect/>
        </a:stretch>
      </xdr:blipFill>
      <xdr:spPr>
        <a:xfrm>
          <a:off x="12700" y="136525"/>
          <a:ext cx="889000" cy="492873"/>
        </a:xfrm>
        <a:prstGeom prst="rect">
          <a:avLst/>
        </a:prstGeom>
      </xdr:spPr>
    </xdr:pic>
    <xdr:clientData/>
  </xdr:twoCellAnchor>
  <xdr:twoCellAnchor editAs="absolute">
    <xdr:from>
      <xdr:col>1</xdr:col>
      <xdr:colOff>508000</xdr:colOff>
      <xdr:row>2</xdr:row>
      <xdr:rowOff>228</xdr:rowOff>
    </xdr:from>
    <xdr:to>
      <xdr:col>3</xdr:col>
      <xdr:colOff>374650</xdr:colOff>
      <xdr:row>3</xdr:row>
      <xdr:rowOff>22225</xdr:rowOff>
    </xdr:to>
    <xdr:sp macro="" textlink="">
      <xdr:nvSpPr>
        <xdr:cNvPr id="17" name="TextBox 16">
          <a:extLst>
            <a:ext uri="{FF2B5EF4-FFF2-40B4-BE49-F238E27FC236}">
              <a16:creationId xmlns:a16="http://schemas.microsoft.com/office/drawing/2014/main" id="{45796E5A-3790-4C74-B6CE-5402E43B54EE}"/>
            </a:ext>
          </a:extLst>
        </xdr:cNvPr>
        <xdr:cNvSpPr txBox="1"/>
      </xdr:nvSpPr>
      <xdr:spPr>
        <a:xfrm>
          <a:off x="1155700" y="362178"/>
          <a:ext cx="1162050" cy="202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1">
              <a:latin typeface="Segoe UI Light" panose="020B0502040204020203" pitchFamily="34" charset="0"/>
              <a:cs typeface="Segoe UI Light" panose="020B0502040204020203" pitchFamily="34" charset="0"/>
            </a:rPr>
            <a:t>    </a:t>
          </a:r>
          <a:r>
            <a:rPr lang="en-IN" sz="1000" b="1" i="0">
              <a:latin typeface="+mn-lt"/>
              <a:cs typeface="Segoe UI Light" panose="020B0502040204020203" pitchFamily="34" charset="0"/>
            </a:rPr>
            <a:t>Monthly</a:t>
          </a:r>
          <a:r>
            <a:rPr lang="en-IN" sz="1000" b="1" i="0" baseline="0">
              <a:latin typeface="+mn-lt"/>
              <a:cs typeface="Segoe UI Light" panose="020B0502040204020203" pitchFamily="34" charset="0"/>
            </a:rPr>
            <a:t> Report </a:t>
          </a:r>
          <a:endParaRPr lang="en-IN" sz="1000" b="1" i="0" u="none">
            <a:ln>
              <a:noFill/>
            </a:ln>
            <a:latin typeface="+mn-lt"/>
            <a:cs typeface="Segoe UI Light" panose="020B0502040204020203" pitchFamily="34" charset="0"/>
          </a:endParaRPr>
        </a:p>
      </xdr:txBody>
    </xdr:sp>
    <xdr:clientData/>
  </xdr:twoCellAnchor>
  <xdr:twoCellAnchor editAs="absolute">
    <xdr:from>
      <xdr:col>1</xdr:col>
      <xdr:colOff>412750</xdr:colOff>
      <xdr:row>4</xdr:row>
      <xdr:rowOff>139701</xdr:rowOff>
    </xdr:from>
    <xdr:to>
      <xdr:col>2</xdr:col>
      <xdr:colOff>584200</xdr:colOff>
      <xdr:row>6</xdr:row>
      <xdr:rowOff>6351</xdr:rowOff>
    </xdr:to>
    <xdr:sp macro="" textlink="'Pivot Report'!B5">
      <xdr:nvSpPr>
        <xdr:cNvPr id="18" name="TextBox 17">
          <a:extLst>
            <a:ext uri="{FF2B5EF4-FFF2-40B4-BE49-F238E27FC236}">
              <a16:creationId xmlns:a16="http://schemas.microsoft.com/office/drawing/2014/main" id="{91A95773-096E-4D1D-9970-E22723A17E73}"/>
            </a:ext>
          </a:extLst>
        </xdr:cNvPr>
        <xdr:cNvSpPr txBox="1"/>
      </xdr:nvSpPr>
      <xdr:spPr>
        <a:xfrm>
          <a:off x="1060450" y="863601"/>
          <a:ext cx="8191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100" b="0" i="0" u="none" strike="noStrike" baseline="0">
              <a:ln>
                <a:noFill/>
              </a:ln>
              <a:solidFill>
                <a:srgbClr val="000000"/>
              </a:solidFill>
              <a:latin typeface="Calibri"/>
              <a:ea typeface="Calibri"/>
              <a:cs typeface="Calibri"/>
            </a:rPr>
            <a:t>          </a:t>
          </a:r>
          <a:fld id="{1BA05D74-73B6-4594-89BC-8C89BC33A05D}" type="TxLink">
            <a:rPr lang="en-US" sz="1100" b="0" i="0" u="none" strike="noStrike" baseline="0">
              <a:ln>
                <a:noFill/>
              </a:ln>
              <a:solidFill>
                <a:srgbClr val="000000"/>
              </a:solidFill>
              <a:latin typeface="Calibri"/>
              <a:ea typeface="Calibri"/>
              <a:cs typeface="Calibri"/>
            </a:rPr>
            <a:pPr/>
            <a:t>513</a:t>
          </a:fld>
          <a:endParaRPr lang="en-IN" sz="1200" b="1" u="none">
            <a:ln>
              <a:noFill/>
            </a:ln>
            <a:latin typeface="+mn-lt"/>
            <a:cs typeface="Segoe UI Light" panose="020B0502040204020203" pitchFamily="34" charset="0"/>
          </a:endParaRPr>
        </a:p>
      </xdr:txBody>
    </xdr:sp>
    <xdr:clientData/>
  </xdr:twoCellAnchor>
  <xdr:twoCellAnchor editAs="absolute">
    <xdr:from>
      <xdr:col>1</xdr:col>
      <xdr:colOff>311150</xdr:colOff>
      <xdr:row>6</xdr:row>
      <xdr:rowOff>57828</xdr:rowOff>
    </xdr:from>
    <xdr:to>
      <xdr:col>3</xdr:col>
      <xdr:colOff>142875</xdr:colOff>
      <xdr:row>7</xdr:row>
      <xdr:rowOff>76780</xdr:rowOff>
    </xdr:to>
    <xdr:sp macro="" textlink="'Pivot Report'!B5">
      <xdr:nvSpPr>
        <xdr:cNvPr id="19" name="TextBox 18">
          <a:extLst>
            <a:ext uri="{FF2B5EF4-FFF2-40B4-BE49-F238E27FC236}">
              <a16:creationId xmlns:a16="http://schemas.microsoft.com/office/drawing/2014/main" id="{6A89507E-EB90-44BA-AFB7-0668F5E46808}"/>
            </a:ext>
          </a:extLst>
        </xdr:cNvPr>
        <xdr:cNvSpPr txBox="1"/>
      </xdr:nvSpPr>
      <xdr:spPr>
        <a:xfrm>
          <a:off x="958850" y="1143678"/>
          <a:ext cx="1127125" cy="1999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000" b="0" i="0" u="none" strike="noStrike" baseline="0">
              <a:ln>
                <a:noFill/>
              </a:ln>
              <a:solidFill>
                <a:srgbClr val="000000"/>
              </a:solidFill>
              <a:latin typeface="Calibri"/>
              <a:ea typeface="Calibri"/>
              <a:cs typeface="Calibri"/>
            </a:rPr>
            <a:t>      No: of patient</a:t>
          </a:r>
          <a:endParaRPr lang="en-IN" sz="1000" b="1" u="none">
            <a:ln>
              <a:noFill/>
            </a:ln>
            <a:latin typeface="+mn-lt"/>
            <a:cs typeface="Segoe UI Light" panose="020B0502040204020203" pitchFamily="34" charset="0"/>
          </a:endParaRPr>
        </a:p>
      </xdr:txBody>
    </xdr:sp>
    <xdr:clientData/>
  </xdr:twoCellAnchor>
  <xdr:twoCellAnchor editAs="absolute">
    <xdr:from>
      <xdr:col>3</xdr:col>
      <xdr:colOff>339725</xdr:colOff>
      <xdr:row>4</xdr:row>
      <xdr:rowOff>130176</xdr:rowOff>
    </xdr:from>
    <xdr:to>
      <xdr:col>4</xdr:col>
      <xdr:colOff>520700</xdr:colOff>
      <xdr:row>5</xdr:row>
      <xdr:rowOff>177801</xdr:rowOff>
    </xdr:to>
    <xdr:sp macro="" textlink="'Pivot Report'!B9">
      <xdr:nvSpPr>
        <xdr:cNvPr id="20" name="TextBox 19">
          <a:extLst>
            <a:ext uri="{FF2B5EF4-FFF2-40B4-BE49-F238E27FC236}">
              <a16:creationId xmlns:a16="http://schemas.microsoft.com/office/drawing/2014/main" id="{6C6F2CD3-D1F4-49CD-AFE2-DE63FA2D8B77}"/>
            </a:ext>
          </a:extLst>
        </xdr:cNvPr>
        <xdr:cNvSpPr txBox="1"/>
      </xdr:nvSpPr>
      <xdr:spPr>
        <a:xfrm>
          <a:off x="2282825" y="854076"/>
          <a:ext cx="82867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100" b="0" i="0" u="none" strike="noStrike" baseline="0">
              <a:ln>
                <a:noFill/>
              </a:ln>
              <a:solidFill>
                <a:srgbClr val="000000"/>
              </a:solidFill>
              <a:latin typeface="Calibri"/>
              <a:ea typeface="Calibri"/>
              <a:cs typeface="Calibri"/>
            </a:rPr>
            <a:t>         </a:t>
          </a:r>
          <a:fld id="{AFB043A1-CAED-4A3A-89F0-E672673E623E}" type="TxLink">
            <a:rPr lang="en-US" sz="1100" b="0" i="0" u="none" strike="noStrike" baseline="0">
              <a:ln>
                <a:noFill/>
              </a:ln>
              <a:solidFill>
                <a:srgbClr val="000000"/>
              </a:solidFill>
              <a:latin typeface="Calibri"/>
              <a:ea typeface="Calibri"/>
              <a:cs typeface="Calibri"/>
            </a:rPr>
            <a:pPr/>
            <a:t>36.32</a:t>
          </a:fld>
          <a:endParaRPr lang="en-IN" sz="1200" b="1" u="none">
            <a:ln>
              <a:noFill/>
            </a:ln>
            <a:latin typeface="+mn-lt"/>
            <a:cs typeface="Segoe UI Light" panose="020B0502040204020203" pitchFamily="34" charset="0"/>
          </a:endParaRPr>
        </a:p>
      </xdr:txBody>
    </xdr:sp>
    <xdr:clientData/>
  </xdr:twoCellAnchor>
  <xdr:twoCellAnchor editAs="absolute">
    <xdr:from>
      <xdr:col>3</xdr:col>
      <xdr:colOff>266701</xdr:colOff>
      <xdr:row>6</xdr:row>
      <xdr:rowOff>54654</xdr:rowOff>
    </xdr:from>
    <xdr:to>
      <xdr:col>5</xdr:col>
      <xdr:colOff>76201</xdr:colOff>
      <xdr:row>7</xdr:row>
      <xdr:rowOff>53975</xdr:rowOff>
    </xdr:to>
    <xdr:sp macro="" textlink="'Pivot Report'!B5">
      <xdr:nvSpPr>
        <xdr:cNvPr id="21" name="TextBox 20">
          <a:extLst>
            <a:ext uri="{FF2B5EF4-FFF2-40B4-BE49-F238E27FC236}">
              <a16:creationId xmlns:a16="http://schemas.microsoft.com/office/drawing/2014/main" id="{DD1CC70A-D772-41C3-846A-9B68515BDD08}"/>
            </a:ext>
          </a:extLst>
        </xdr:cNvPr>
        <xdr:cNvSpPr txBox="1"/>
      </xdr:nvSpPr>
      <xdr:spPr>
        <a:xfrm>
          <a:off x="2209801" y="1140504"/>
          <a:ext cx="1104900" cy="1802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000" b="0" i="0" u="none" strike="noStrike" baseline="0">
              <a:ln>
                <a:noFill/>
              </a:ln>
              <a:solidFill>
                <a:srgbClr val="000000"/>
              </a:solidFill>
              <a:latin typeface="Calibri"/>
              <a:ea typeface="Calibri"/>
              <a:cs typeface="Calibri"/>
            </a:rPr>
            <a:t>      AVG Wait time </a:t>
          </a:r>
          <a:endParaRPr lang="en-IN" sz="1000" b="1" u="none">
            <a:ln>
              <a:noFill/>
            </a:ln>
            <a:latin typeface="+mn-lt"/>
            <a:cs typeface="Segoe UI Light" panose="020B0502040204020203" pitchFamily="34" charset="0"/>
          </a:endParaRPr>
        </a:p>
      </xdr:txBody>
    </xdr:sp>
    <xdr:clientData/>
  </xdr:twoCellAnchor>
  <xdr:twoCellAnchor editAs="absolute">
    <xdr:from>
      <xdr:col>5</xdr:col>
      <xdr:colOff>352425</xdr:colOff>
      <xdr:row>4</xdr:row>
      <xdr:rowOff>130176</xdr:rowOff>
    </xdr:from>
    <xdr:to>
      <xdr:col>6</xdr:col>
      <xdr:colOff>533400</xdr:colOff>
      <xdr:row>5</xdr:row>
      <xdr:rowOff>177801</xdr:rowOff>
    </xdr:to>
    <xdr:sp macro="" textlink="'Pivot Report'!B13">
      <xdr:nvSpPr>
        <xdr:cNvPr id="22" name="TextBox 21">
          <a:extLst>
            <a:ext uri="{FF2B5EF4-FFF2-40B4-BE49-F238E27FC236}">
              <a16:creationId xmlns:a16="http://schemas.microsoft.com/office/drawing/2014/main" id="{4845F90F-27A5-4FFF-846C-1919192AF2C7}"/>
            </a:ext>
          </a:extLst>
        </xdr:cNvPr>
        <xdr:cNvSpPr txBox="1"/>
      </xdr:nvSpPr>
      <xdr:spPr>
        <a:xfrm>
          <a:off x="3590925" y="854076"/>
          <a:ext cx="82867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100" b="0" i="0" u="none" strike="noStrike" baseline="0">
              <a:ln>
                <a:noFill/>
              </a:ln>
              <a:solidFill>
                <a:srgbClr val="000000"/>
              </a:solidFill>
              <a:latin typeface="Calibri"/>
              <a:ea typeface="Calibri"/>
              <a:cs typeface="Calibri"/>
            </a:rPr>
            <a:t>         </a:t>
          </a:r>
          <a:fld id="{9000F295-E463-42DD-9435-CC4CA700CA87}" type="TxLink">
            <a:rPr lang="en-US" sz="1100" b="0" i="0" u="none" strike="noStrike" baseline="0">
              <a:ln>
                <a:noFill/>
              </a:ln>
              <a:solidFill>
                <a:srgbClr val="000000"/>
              </a:solidFill>
              <a:latin typeface="Calibri"/>
              <a:ea typeface="Calibri"/>
              <a:cs typeface="Calibri"/>
            </a:rPr>
            <a:pPr/>
            <a:t>4.96</a:t>
          </a:fld>
          <a:endParaRPr lang="en-IN" sz="1200" b="1" u="none">
            <a:ln>
              <a:noFill/>
            </a:ln>
            <a:latin typeface="+mn-lt"/>
            <a:cs typeface="Segoe UI Light" panose="020B0502040204020203" pitchFamily="34" charset="0"/>
          </a:endParaRPr>
        </a:p>
      </xdr:txBody>
    </xdr:sp>
    <xdr:clientData/>
  </xdr:twoCellAnchor>
  <xdr:twoCellAnchor editAs="absolute">
    <xdr:from>
      <xdr:col>5</xdr:col>
      <xdr:colOff>165100</xdr:colOff>
      <xdr:row>6</xdr:row>
      <xdr:rowOff>45129</xdr:rowOff>
    </xdr:from>
    <xdr:to>
      <xdr:col>7</xdr:col>
      <xdr:colOff>34925</xdr:colOff>
      <xdr:row>7</xdr:row>
      <xdr:rowOff>98425</xdr:rowOff>
    </xdr:to>
    <xdr:sp macro="" textlink="'Pivot Report'!B5">
      <xdr:nvSpPr>
        <xdr:cNvPr id="24" name="TextBox 23">
          <a:extLst>
            <a:ext uri="{FF2B5EF4-FFF2-40B4-BE49-F238E27FC236}">
              <a16:creationId xmlns:a16="http://schemas.microsoft.com/office/drawing/2014/main" id="{FC237F49-15FC-434F-B41C-D9B13CA539B3}"/>
            </a:ext>
          </a:extLst>
        </xdr:cNvPr>
        <xdr:cNvSpPr txBox="1"/>
      </xdr:nvSpPr>
      <xdr:spPr>
        <a:xfrm>
          <a:off x="3403600" y="1130979"/>
          <a:ext cx="1165225" cy="2342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000" b="0" i="0" u="none" strike="noStrike" baseline="0">
              <a:ln>
                <a:noFill/>
              </a:ln>
              <a:solidFill>
                <a:srgbClr val="000000"/>
              </a:solidFill>
              <a:latin typeface="Calibri"/>
              <a:ea typeface="Calibri"/>
              <a:cs typeface="Calibri"/>
            </a:rPr>
            <a:t>      Satisfaction Score</a:t>
          </a:r>
          <a:endParaRPr lang="en-IN" sz="1000" b="1" u="none">
            <a:ln>
              <a:noFill/>
            </a:ln>
            <a:latin typeface="+mn-lt"/>
            <a:cs typeface="Segoe UI Light" panose="020B0502040204020203" pitchFamily="34" charset="0"/>
          </a:endParaRPr>
        </a:p>
      </xdr:txBody>
    </xdr:sp>
    <xdr:clientData/>
  </xdr:twoCellAnchor>
  <xdr:twoCellAnchor editAs="oneCell">
    <xdr:from>
      <xdr:col>2</xdr:col>
      <xdr:colOff>469900</xdr:colOff>
      <xdr:row>4</xdr:row>
      <xdr:rowOff>25401</xdr:rowOff>
    </xdr:from>
    <xdr:to>
      <xdr:col>3</xdr:col>
      <xdr:colOff>117475</xdr:colOff>
      <xdr:row>5</xdr:row>
      <xdr:rowOff>101600</xdr:rowOff>
    </xdr:to>
    <xdr:pic>
      <xdr:nvPicPr>
        <xdr:cNvPr id="26" name="Graphic 25" descr="Male profile with solid fill">
          <a:extLst>
            <a:ext uri="{FF2B5EF4-FFF2-40B4-BE49-F238E27FC236}">
              <a16:creationId xmlns:a16="http://schemas.microsoft.com/office/drawing/2014/main" id="{5D190E2F-DF9A-7559-7A0F-91AB092389D3}"/>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765300" y="749301"/>
          <a:ext cx="295275" cy="257174"/>
        </a:xfrm>
        <a:prstGeom prst="rect">
          <a:avLst/>
        </a:prstGeom>
      </xdr:spPr>
    </xdr:pic>
    <xdr:clientData/>
  </xdr:twoCellAnchor>
  <xdr:twoCellAnchor editAs="oneCell">
    <xdr:from>
      <xdr:col>4</xdr:col>
      <xdr:colOff>479425</xdr:colOff>
      <xdr:row>4</xdr:row>
      <xdr:rowOff>44450</xdr:rowOff>
    </xdr:from>
    <xdr:to>
      <xdr:col>5</xdr:col>
      <xdr:colOff>60325</xdr:colOff>
      <xdr:row>5</xdr:row>
      <xdr:rowOff>66675</xdr:rowOff>
    </xdr:to>
    <xdr:pic>
      <xdr:nvPicPr>
        <xdr:cNvPr id="28" name="Graphic 27" descr="Hourglass Finished with solid fill">
          <a:extLst>
            <a:ext uri="{FF2B5EF4-FFF2-40B4-BE49-F238E27FC236}">
              <a16:creationId xmlns:a16="http://schemas.microsoft.com/office/drawing/2014/main" id="{80EBFBD4-983D-9F32-AAAB-8434B6D82C8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070225" y="768350"/>
          <a:ext cx="228600" cy="203200"/>
        </a:xfrm>
        <a:prstGeom prst="rect">
          <a:avLst/>
        </a:prstGeom>
      </xdr:spPr>
    </xdr:pic>
    <xdr:clientData/>
  </xdr:twoCellAnchor>
  <xdr:twoCellAnchor editAs="oneCell">
    <xdr:from>
      <xdr:col>6</xdr:col>
      <xdr:colOff>412750</xdr:colOff>
      <xdr:row>4</xdr:row>
      <xdr:rowOff>0</xdr:rowOff>
    </xdr:from>
    <xdr:to>
      <xdr:col>7</xdr:col>
      <xdr:colOff>6350</xdr:colOff>
      <xdr:row>5</xdr:row>
      <xdr:rowOff>54841</xdr:rowOff>
    </xdr:to>
    <xdr:pic>
      <xdr:nvPicPr>
        <xdr:cNvPr id="30" name="Graphic 29" descr="Star with solid fill">
          <a:extLst>
            <a:ext uri="{FF2B5EF4-FFF2-40B4-BE49-F238E27FC236}">
              <a16:creationId xmlns:a16="http://schemas.microsoft.com/office/drawing/2014/main" id="{7357AC02-9F7C-36FC-9C04-57BCAEE76C5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298950" y="723900"/>
          <a:ext cx="241300" cy="235816"/>
        </a:xfrm>
        <a:prstGeom prst="rect">
          <a:avLst/>
        </a:prstGeom>
      </xdr:spPr>
    </xdr:pic>
    <xdr:clientData/>
  </xdr:twoCellAnchor>
  <xdr:twoCellAnchor>
    <xdr:from>
      <xdr:col>1</xdr:col>
      <xdr:colOff>180975</xdr:colOff>
      <xdr:row>7</xdr:row>
      <xdr:rowOff>19049</xdr:rowOff>
    </xdr:from>
    <xdr:to>
      <xdr:col>3</xdr:col>
      <xdr:colOff>285750</xdr:colOff>
      <xdr:row>10</xdr:row>
      <xdr:rowOff>19049</xdr:rowOff>
    </xdr:to>
    <xdr:graphicFrame macro="">
      <xdr:nvGraphicFramePr>
        <xdr:cNvPr id="33" name="Chart 32">
          <a:hlinkClick xmlns:r="http://schemas.openxmlformats.org/officeDocument/2006/relationships" r:id="rId8"/>
          <a:extLst>
            <a:ext uri="{FF2B5EF4-FFF2-40B4-BE49-F238E27FC236}">
              <a16:creationId xmlns:a16="http://schemas.microsoft.com/office/drawing/2014/main" id="{D0CAA948-4987-4CDA-A5FA-3DDAA13D7F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44451</xdr:colOff>
      <xdr:row>4</xdr:row>
      <xdr:rowOff>28575</xdr:rowOff>
    </xdr:from>
    <xdr:to>
      <xdr:col>1</xdr:col>
      <xdr:colOff>196850</xdr:colOff>
      <xdr:row>18</xdr:row>
      <xdr:rowOff>158751</xdr:rowOff>
    </xdr:to>
    <mc:AlternateContent xmlns:mc="http://schemas.openxmlformats.org/markup-compatibility/2006" xmlns:a14="http://schemas.microsoft.com/office/drawing/2010/main">
      <mc:Choice Requires="a14">
        <xdr:graphicFrame macro="">
          <xdr:nvGraphicFramePr>
            <xdr:cNvPr id="25" name="Date (Month)">
              <a:extLst>
                <a:ext uri="{FF2B5EF4-FFF2-40B4-BE49-F238E27FC236}">
                  <a16:creationId xmlns:a16="http://schemas.microsoft.com/office/drawing/2014/main" id="{532D3ECC-8887-4B62-B842-698576C5AC8D}"/>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44451" y="752475"/>
              <a:ext cx="800099" cy="26638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184149</xdr:colOff>
      <xdr:row>7</xdr:row>
      <xdr:rowOff>171450</xdr:rowOff>
    </xdr:from>
    <xdr:to>
      <xdr:col>5</xdr:col>
      <xdr:colOff>120650</xdr:colOff>
      <xdr:row>9</xdr:row>
      <xdr:rowOff>123824</xdr:rowOff>
    </xdr:to>
    <xdr:graphicFrame macro="">
      <xdr:nvGraphicFramePr>
        <xdr:cNvPr id="27" name="Chart 26">
          <a:hlinkClick xmlns:r="http://schemas.openxmlformats.org/officeDocument/2006/relationships" r:id="rId10"/>
          <a:extLst>
            <a:ext uri="{FF2B5EF4-FFF2-40B4-BE49-F238E27FC236}">
              <a16:creationId xmlns:a16="http://schemas.microsoft.com/office/drawing/2014/main" id="{29293B1A-2B05-44B5-BE2D-3877935A83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169411</xdr:colOff>
      <xdr:row>7</xdr:row>
      <xdr:rowOff>12018</xdr:rowOff>
    </xdr:from>
    <xdr:to>
      <xdr:col>7</xdr:col>
      <xdr:colOff>66675</xdr:colOff>
      <xdr:row>9</xdr:row>
      <xdr:rowOff>111125</xdr:rowOff>
    </xdr:to>
    <xdr:graphicFrame macro="">
      <xdr:nvGraphicFramePr>
        <xdr:cNvPr id="11" name="Chart 10">
          <a:hlinkClick xmlns:r="http://schemas.openxmlformats.org/officeDocument/2006/relationships" r:id="rId12"/>
          <a:extLst>
            <a:ext uri="{FF2B5EF4-FFF2-40B4-BE49-F238E27FC236}">
              <a16:creationId xmlns:a16="http://schemas.microsoft.com/office/drawing/2014/main" id="{1E55D5ED-91B4-4EBE-975F-450D7DD648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241300</xdr:colOff>
      <xdr:row>12</xdr:row>
      <xdr:rowOff>174625</xdr:rowOff>
    </xdr:from>
    <xdr:to>
      <xdr:col>6</xdr:col>
      <xdr:colOff>638175</xdr:colOff>
      <xdr:row>18</xdr:row>
      <xdr:rowOff>127000</xdr:rowOff>
    </xdr:to>
    <xdr:graphicFrame macro="">
      <xdr:nvGraphicFramePr>
        <xdr:cNvPr id="40" name="Chart 39">
          <a:extLst>
            <a:ext uri="{FF2B5EF4-FFF2-40B4-BE49-F238E27FC236}">
              <a16:creationId xmlns:a16="http://schemas.microsoft.com/office/drawing/2014/main" id="{9C60A8F8-258E-4B11-A46A-FC680428A4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473075</xdr:colOff>
      <xdr:row>0</xdr:row>
      <xdr:rowOff>96836</xdr:rowOff>
    </xdr:from>
    <xdr:to>
      <xdr:col>12</xdr:col>
      <xdr:colOff>57151</xdr:colOff>
      <xdr:row>8</xdr:row>
      <xdr:rowOff>25399</xdr:rowOff>
    </xdr:to>
    <xdr:graphicFrame macro="">
      <xdr:nvGraphicFramePr>
        <xdr:cNvPr id="41" name="Chart 40">
          <a:extLst>
            <a:ext uri="{FF2B5EF4-FFF2-40B4-BE49-F238E27FC236}">
              <a16:creationId xmlns:a16="http://schemas.microsoft.com/office/drawing/2014/main" id="{83CAF00C-5206-43F1-B55E-7FE6376E9F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187777</xdr:colOff>
      <xdr:row>0</xdr:row>
      <xdr:rowOff>107950</xdr:rowOff>
    </xdr:from>
    <xdr:to>
      <xdr:col>9</xdr:col>
      <xdr:colOff>377825</xdr:colOff>
      <xdr:row>8</xdr:row>
      <xdr:rowOff>0</xdr:rowOff>
    </xdr:to>
    <xdr:graphicFrame macro="">
      <xdr:nvGraphicFramePr>
        <xdr:cNvPr id="42" name="Chart 41">
          <a:extLst>
            <a:ext uri="{FF2B5EF4-FFF2-40B4-BE49-F238E27FC236}">
              <a16:creationId xmlns:a16="http://schemas.microsoft.com/office/drawing/2014/main" id="{EFC2578E-60C4-443C-9BC2-4B8E54BF69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146050</xdr:colOff>
      <xdr:row>9</xdr:row>
      <xdr:rowOff>12699</xdr:rowOff>
    </xdr:from>
    <xdr:to>
      <xdr:col>11</xdr:col>
      <xdr:colOff>638175</xdr:colOff>
      <xdr:row>18</xdr:row>
      <xdr:rowOff>126999</xdr:rowOff>
    </xdr:to>
    <xdr:graphicFrame macro="">
      <xdr:nvGraphicFramePr>
        <xdr:cNvPr id="43" name="Chart 42">
          <a:extLst>
            <a:ext uri="{FF2B5EF4-FFF2-40B4-BE49-F238E27FC236}">
              <a16:creationId xmlns:a16="http://schemas.microsoft.com/office/drawing/2014/main" id="{59740897-C80B-412A-A231-238CA45111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7</xdr:col>
      <xdr:colOff>123825</xdr:colOff>
      <xdr:row>8</xdr:row>
      <xdr:rowOff>101600</xdr:rowOff>
    </xdr:from>
    <xdr:to>
      <xdr:col>12</xdr:col>
      <xdr:colOff>206375</xdr:colOff>
      <xdr:row>8</xdr:row>
      <xdr:rowOff>104775</xdr:rowOff>
    </xdr:to>
    <xdr:cxnSp macro="">
      <xdr:nvCxnSpPr>
        <xdr:cNvPr id="45" name="Straight Connector 44">
          <a:extLst>
            <a:ext uri="{FF2B5EF4-FFF2-40B4-BE49-F238E27FC236}">
              <a16:creationId xmlns:a16="http://schemas.microsoft.com/office/drawing/2014/main" id="{276A15A1-7257-44CE-842E-6FB89B727950}"/>
            </a:ext>
          </a:extLst>
        </xdr:cNvPr>
        <xdr:cNvCxnSpPr/>
      </xdr:nvCxnSpPr>
      <xdr:spPr>
        <a:xfrm flipV="1">
          <a:off x="4657725" y="1549400"/>
          <a:ext cx="3321050" cy="3175"/>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3</xdr:row>
      <xdr:rowOff>111125</xdr:rowOff>
    </xdr:from>
    <xdr:to>
      <xdr:col>7</xdr:col>
      <xdr:colOff>98425</xdr:colOff>
      <xdr:row>3</xdr:row>
      <xdr:rowOff>130175</xdr:rowOff>
    </xdr:to>
    <xdr:cxnSp macro="">
      <xdr:nvCxnSpPr>
        <xdr:cNvPr id="50" name="Straight Connector 49">
          <a:extLst>
            <a:ext uri="{FF2B5EF4-FFF2-40B4-BE49-F238E27FC236}">
              <a16:creationId xmlns:a16="http://schemas.microsoft.com/office/drawing/2014/main" id="{805A9587-FBAA-4000-9375-7EA2F38A46E8}"/>
            </a:ext>
          </a:extLst>
        </xdr:cNvPr>
        <xdr:cNvCxnSpPr/>
      </xdr:nvCxnSpPr>
      <xdr:spPr>
        <a:xfrm flipV="1">
          <a:off x="0" y="654050"/>
          <a:ext cx="4632325" cy="19050"/>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xdr:col>
      <xdr:colOff>179162</xdr:colOff>
      <xdr:row>0</xdr:row>
      <xdr:rowOff>120649</xdr:rowOff>
    </xdr:from>
    <xdr:to>
      <xdr:col>7</xdr:col>
      <xdr:colOff>25400</xdr:colOff>
      <xdr:row>3</xdr:row>
      <xdr:rowOff>63499</xdr:rowOff>
    </xdr:to>
    <mc:AlternateContent xmlns:mc="http://schemas.openxmlformats.org/markup-compatibility/2006" xmlns:a14="http://schemas.microsoft.com/office/drawing/2010/main">
      <mc:Choice Requires="a14">
        <xdr:graphicFrame macro="">
          <xdr:nvGraphicFramePr>
            <xdr:cNvPr id="53" name="Date (Year) 1">
              <a:extLst>
                <a:ext uri="{FF2B5EF4-FFF2-40B4-BE49-F238E27FC236}">
                  <a16:creationId xmlns:a16="http://schemas.microsoft.com/office/drawing/2014/main" id="{4F3D6E26-E899-4F8C-B513-4229AC773AA9}"/>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3417662" y="120649"/>
              <a:ext cx="1141638" cy="485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1</xdr:col>
          <xdr:colOff>244475</xdr:colOff>
          <xdr:row>9</xdr:row>
          <xdr:rowOff>101600</xdr:rowOff>
        </xdr:from>
        <xdr:to>
          <xdr:col>7</xdr:col>
          <xdr:colOff>73025</xdr:colOff>
          <xdr:row>12</xdr:row>
          <xdr:rowOff>88900</xdr:rowOff>
        </xdr:to>
        <xdr:pic>
          <xdr:nvPicPr>
            <xdr:cNvPr id="32" name="Picture 31">
              <a:extLst>
                <a:ext uri="{FF2B5EF4-FFF2-40B4-BE49-F238E27FC236}">
                  <a16:creationId xmlns:a16="http://schemas.microsoft.com/office/drawing/2014/main" id="{555280E3-C430-1F83-A93D-C1AB843E77ED}"/>
                </a:ext>
              </a:extLst>
            </xdr:cNvPr>
            <xdr:cNvPicPr>
              <a:picLocks noChangeAspect="1" noChangeArrowheads="1"/>
              <a:extLst>
                <a:ext uri="{84589F7E-364E-4C9E-8A38-B11213B215E9}">
                  <a14:cameraTool cellRange="'Pivot Report'!$B$46:$E$48" spid="_x0000_s2056"/>
                </a:ext>
              </a:extLst>
            </xdr:cNvPicPr>
          </xdr:nvPicPr>
          <xdr:blipFill>
            <a:blip xmlns:r="http://schemas.openxmlformats.org/officeDocument/2006/relationships" r:embed="rId18"/>
            <a:srcRect/>
            <a:stretch>
              <a:fillRect/>
            </a:stretch>
          </xdr:blipFill>
          <xdr:spPr bwMode="auto">
            <a:xfrm>
              <a:off x="892175" y="1730375"/>
              <a:ext cx="3714750" cy="53022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0</xdr:col>
      <xdr:colOff>221673</xdr:colOff>
      <xdr:row>2</xdr:row>
      <xdr:rowOff>168853</xdr:rowOff>
    </xdr:from>
    <xdr:to>
      <xdr:col>11</xdr:col>
      <xdr:colOff>632114</xdr:colOff>
      <xdr:row>18</xdr:row>
      <xdr:rowOff>20350</xdr:rowOff>
    </xdr:to>
    <xdr:graphicFrame macro="">
      <xdr:nvGraphicFramePr>
        <xdr:cNvPr id="2" name="Chart 1">
          <a:extLst>
            <a:ext uri="{FF2B5EF4-FFF2-40B4-BE49-F238E27FC236}">
              <a16:creationId xmlns:a16="http://schemas.microsoft.com/office/drawing/2014/main" id="{9B66315B-8DEC-4C74-82B2-4545964073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303068</xdr:colOff>
      <xdr:row>3</xdr:row>
      <xdr:rowOff>17317</xdr:rowOff>
    </xdr:from>
    <xdr:to>
      <xdr:col>1</xdr:col>
      <xdr:colOff>56284</xdr:colOff>
      <xdr:row>5</xdr:row>
      <xdr:rowOff>56283</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B1B480DE-AB6B-494C-666E-B792344DB2A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03068" y="562840"/>
          <a:ext cx="402648" cy="40264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209551</xdr:colOff>
      <xdr:row>2</xdr:row>
      <xdr:rowOff>161925</xdr:rowOff>
    </xdr:from>
    <xdr:to>
      <xdr:col>13</xdr:col>
      <xdr:colOff>547688</xdr:colOff>
      <xdr:row>18</xdr:row>
      <xdr:rowOff>9525</xdr:rowOff>
    </xdr:to>
    <xdr:graphicFrame macro="">
      <xdr:nvGraphicFramePr>
        <xdr:cNvPr id="2" name="Chart 1">
          <a:extLst>
            <a:ext uri="{FF2B5EF4-FFF2-40B4-BE49-F238E27FC236}">
              <a16:creationId xmlns:a16="http://schemas.microsoft.com/office/drawing/2014/main" id="{D006FECD-2443-4A5B-B8A1-9328824431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0.01686</cdr:x>
      <cdr:y>0.03125</cdr:y>
    </cdr:from>
    <cdr:to>
      <cdr:x>0.07287</cdr:x>
      <cdr:y>0.21007</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299FDDA9-C2C2-0A84-B92F-0876F1C572F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47638" y="85725"/>
          <a:ext cx="490537" cy="490537"/>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0</xdr:col>
      <xdr:colOff>509588</xdr:colOff>
      <xdr:row>3</xdr:row>
      <xdr:rowOff>128587</xdr:rowOff>
    </xdr:from>
    <xdr:to>
      <xdr:col>15</xdr:col>
      <xdr:colOff>147638</xdr:colOff>
      <xdr:row>23</xdr:row>
      <xdr:rowOff>147638</xdr:rowOff>
    </xdr:to>
    <xdr:graphicFrame macro="">
      <xdr:nvGraphicFramePr>
        <xdr:cNvPr id="2" name="Chart 1">
          <a:extLst>
            <a:ext uri="{FF2B5EF4-FFF2-40B4-BE49-F238E27FC236}">
              <a16:creationId xmlns:a16="http://schemas.microsoft.com/office/drawing/2014/main" id="{94CFA764-0C9F-45AF-90C3-AABF024AAE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642938</xdr:colOff>
      <xdr:row>3</xdr:row>
      <xdr:rowOff>176212</xdr:rowOff>
    </xdr:from>
    <xdr:to>
      <xdr:col>1</xdr:col>
      <xdr:colOff>442913</xdr:colOff>
      <xdr:row>6</xdr:row>
      <xdr:rowOff>80962</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AF4D381E-474E-F2D2-FD04-538AA1EF10D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42938" y="719137"/>
          <a:ext cx="447675" cy="447675"/>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jun Anil" refreshedDate="45986.539667129633" createdVersion="5" refreshedVersion="8" minRefreshableVersion="3" recordCount="0" supportSubquery="1" supportAdvancedDrill="1" xr:uid="{CA7F1F66-255A-4837-829E-9624E7D7DC03}">
  <cacheSource type="external" connectionId="3"/>
  <cacheFields count="3">
    <cacheField name="[Measures].[Distinct Count of Patient Id]" caption="Distinct Count of Patient Id"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9">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ent Status]" caption="Patient Atent Status" attribute="1" defaultMemberUniqueName="[Hospital Emergency Room Data].[Patient Atent Status].[All]" allUniqueName="[Hospital Emergency Room Data].[Patient Atent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ent Status]" caption="Count of Patient Atent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jun Anil" refreshedDate="45986.539667476849" createdVersion="5" refreshedVersion="8" minRefreshableVersion="3" recordCount="0" supportSubquery="1" supportAdvancedDrill="1" xr:uid="{F1009901-662A-40E2-BE43-70FDB01CB753}">
  <cacheSource type="external" connectionId="3"/>
  <cacheFields count="4">
    <cacheField name="[Measures].[Distinct Count of Patient Id]" caption="Distinct Count of Patient Id" numFmtId="0" hierarchy="28" level="32767"/>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9">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ent Status]" caption="Patient Atent Status" attribute="1" defaultMemberUniqueName="[Hospital Emergency Room Data].[Patient Atent Status].[All]" allUniqueName="[Hospital Emergency Room Data].[Patient Atent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ent Status]" caption="Count of Patient Atent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jun Anil" refreshedDate="45986.539667476849" createdVersion="5" refreshedVersion="8" minRefreshableVersion="3" recordCount="0" supportSubquery="1" supportAdvancedDrill="1" xr:uid="{2D3FFD67-49F7-476E-B57E-B882D15FE9B9}">
  <cacheSource type="external" connectionId="3"/>
  <cacheFields count="3">
    <cacheField name="[Measures].[Average of Patient Waittime]" caption="Average of Patient Waittime" numFmtId="0" hierarchy="30"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9">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ent Status]" caption="Patient Atent Status" attribute="1" defaultMemberUniqueName="[Hospital Emergency Room Data].[Patient Atent Status].[All]" allUniqueName="[Hospital Emergency Room Data].[Patient Atent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ent Status]" caption="Count of Patient Atent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jun Anil" refreshedDate="45986.539668055557" createdVersion="5" refreshedVersion="8" minRefreshableVersion="3" recordCount="0" supportSubquery="1" supportAdvancedDrill="1" xr:uid="{908A459C-04D7-483B-93F3-0DDC2A8BACFA}">
  <cacheSource type="external" connectionId="3"/>
  <cacheFields count="4">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30" level="32767"/>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 (Year)].[Date (Year)]" caption="Date (Year)" numFmtId="0" hierarchy="3" level="1">
      <sharedItems containsSemiMixedTypes="0" containsNonDate="0" containsString="0"/>
    </cacheField>
  </cacheFields>
  <cacheHierarchies count="39">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2"/>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ent Status]" caption="Patient Atent Status" attribute="1" defaultMemberUniqueName="[Hospital Emergency Room Data].[Patient Atent Status].[All]" allUniqueName="[Hospital Emergency Room Data].[Patient Atent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ent Status]" caption="Count of Patient Atent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jun Anil" refreshedDate="45986.539668287034" createdVersion="5" refreshedVersion="8" minRefreshableVersion="3" recordCount="0" supportSubquery="1" supportAdvancedDrill="1" xr:uid="{3816DA35-9EF5-4890-B8D5-1A47CD5B8595}">
  <cacheSource type="external" connectionId="3"/>
  <cacheFields count="3">
    <cacheField name="[Measures].[Average of Patient Satisfaction Score]" caption="Average of Patient Satisfaction Score" numFmtId="0" hierarchy="32"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9">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ent Status]" caption="Patient Atent Status" attribute="1" defaultMemberUniqueName="[Hospital Emergency Room Data].[Patient Atent Status].[All]" allUniqueName="[Hospital Emergency Room Data].[Patient Atent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ent Status]" caption="Count of Patient Atent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jun Anil" refreshedDate="45986.539668634257" createdVersion="5" refreshedVersion="8" minRefreshableVersion="3" recordCount="0" supportSubquery="1" supportAdvancedDrill="1" xr:uid="{BA471BFB-F543-40D8-ACF9-151761CABB31}">
  <cacheSource type="external" connectionId="3"/>
  <cacheFields count="4">
    <cacheField name="[Measures].[Average of Patient Satisfaction Score]" caption="Average of Patient Satisfaction Score" numFmtId="0" hierarchy="32" level="32767"/>
    <cacheField name="[Calender_Table].[Date (Month)].[Date (Month)]" caption="Date (Month)" numFmtId="0" hierarchy="1" level="1">
      <sharedItems containsSemiMixedTypes="0" containsNonDate="0" containsString="0"/>
    </cacheField>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 (Year)].[Date (Year)]" caption="Date (Year)" numFmtId="0" hierarchy="3" level="1">
      <sharedItems containsSemiMixedTypes="0" containsNonDate="0" containsString="0"/>
    </cacheField>
  </cacheFields>
  <cacheHierarchies count="39">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2"/>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ent Status]" caption="Patient Atent Status" attribute="1" defaultMemberUniqueName="[Hospital Emergency Room Data].[Patient Atent Status].[All]" allUniqueName="[Hospital Emergency Room Data].[Patient Atent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ent Status]" caption="Count of Patient Atent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jun Anil" refreshedDate="45986.539669097219" createdVersion="5" refreshedVersion="8" minRefreshableVersion="3" recordCount="0" supportSubquery="1" supportAdvancedDrill="1" xr:uid="{ACE4357B-DC27-4782-B499-BCF9844D3FE1}">
  <cacheSource type="external" connectionId="3"/>
  <cacheFields count="5">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34" level="32767"/>
    <cacheField name="[Hospital Emergency Room Data].[Patient Admission Flag].[Patient Admission Flag]" caption="Patient Admission Flag" numFmtId="0" hierarchy="13" level="1">
      <sharedItems count="2">
        <s v="Admitted"/>
        <s v="Not Admitted"/>
      </sharedItems>
    </cacheField>
    <cacheField name="[Calender_Table].[Date (Year)].[Date (Year)]" caption="Date (Year)" numFmtId="0" hierarchy="3" level="1">
      <sharedItems containsSemiMixedTypes="0" containsNonDate="0" containsString="0"/>
    </cacheField>
    <cacheField name="Unsupported0" numFmtId="0" hierarchy="39" level="32767">
      <extLst>
        <ext xmlns:x14="http://schemas.microsoft.com/office/spreadsheetml/2009/9/main" uri="{63CAB8AC-B538-458d-9737-405883B0398D}">
          <x14:cacheField ignore="1"/>
        </ext>
      </extLst>
    </cacheField>
  </cacheFields>
  <cacheHierarchies count="40">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ent Status]" caption="Patient Atent Status" attribute="1" defaultMemberUniqueName="[Hospital Emergency Room Data].[Patient Atent Status].[All]" allUniqueName="[Hospital Emergency Room Data].[Patient Atent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ent Status]" caption="Count of Patient Atent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jun Anil" refreshedDate="45986.539669444443" createdVersion="5" refreshedVersion="8" minRefreshableVersion="3" recordCount="0" supportSubquery="1" supportAdvancedDrill="1" xr:uid="{8DA4334D-DBA6-4C51-9220-5DA8DBFC2222}">
  <cacheSource type="external" connectionId="3"/>
  <cacheFields count="4">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5" level="32767"/>
    <cacheField name="[Calender_Table].[Date (Year)].[Date (Year)]" caption="Date (Year)" numFmtId="0" hierarchy="3" level="1">
      <sharedItems containsSemiMixedTypes="0" containsNonDate="0" containsString="0"/>
    </cacheField>
  </cacheFields>
  <cacheHierarchies count="39">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ent Status]" caption="Patient Atent Status" attribute="1" defaultMemberUniqueName="[Hospital Emergency Room Data].[Patient Atent Status].[All]" allUniqueName="[Hospital Emergency Room Data].[Patient Atent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ent Status]" caption="Count of Patient Atent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jun Anil" refreshedDate="45986.539669791666" createdVersion="5" refreshedVersion="8" minRefreshableVersion="3" recordCount="0" supportSubquery="1" supportAdvancedDrill="1" xr:uid="{E65B977C-BA79-4F92-A6F9-3D2479533BE7}">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7" level="32767"/>
    <cacheField name="[Calender_Table].[Date (Year)].[Date (Year)]" caption="Date (Year)" numFmtId="0" hierarchy="3" level="1">
      <sharedItems containsSemiMixedTypes="0" containsNonDate="0" containsString="0"/>
    </cacheField>
  </cacheFields>
  <cacheHierarchies count="39">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ent Status]" caption="Patient Atent Status" attribute="1" defaultMemberUniqueName="[Hospital Emergency Room Data].[Patient Atent Status].[All]" allUniqueName="[Hospital Emergency Room Data].[Patient Atent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ent Status]" caption="Count of Patient Atent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jun Anil" refreshedDate="45986.539670138889" createdVersion="5" refreshedVersion="8" minRefreshableVersion="3" recordCount="0" supportSubquery="1" supportAdvancedDrill="1" xr:uid="{246B5164-936F-4204-AF01-3CA3DD1EEDBA}">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Atent Status].[Patient Atent Status]" caption="Patient Atent Status" numFmtId="0" hierarchy="17" level="1">
      <sharedItems count="2">
        <s v="Delay"/>
        <s v="Ontime"/>
      </sharedItems>
    </cacheField>
    <cacheField name="[Measures].[Count of Patient Atent Status]" caption="Count of Patient Atent Status" numFmtId="0" hierarchy="33" level="32767"/>
    <cacheField name="[Calender_Table].[Date (Year)].[Date (Year)]" caption="Date (Year)" numFmtId="0" hierarchy="3" level="1">
      <sharedItems containsSemiMixedTypes="0" containsNonDate="0" containsString="0"/>
    </cacheField>
  </cacheFields>
  <cacheHierarchies count="39">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ent Status]" caption="Patient Atent Status" attribute="1" defaultMemberUniqueName="[Hospital Emergency Room Data].[Patient Atent Status].[All]" allUniqueName="[Hospital Emergency Room Data].[Patient Atent Status].[All]" dimensionUniqueName="[Hospital Emergency Room Data]" displayFolder="" count="2" memberValueDatatype="130" unbalanced="0">
      <fieldsUsage count="2">
        <fieldUsage x="-1"/>
        <fieldUsage x="1"/>
      </fieldsUsage>
    </cacheHierarchy>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ent Status]" caption="Count of Patient Atent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jun Anil" refreshedDate="45986.539670486112" createdVersion="5" refreshedVersion="8" minRefreshableVersion="3" recordCount="0" supportSubquery="1" supportAdvancedDrill="1" xr:uid="{62B93005-CE08-49F4-8030-D886BAA53B5B}">
  <cacheSource type="external" connectionId="3"/>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Patient Id]" caption="Count of Patient Id" numFmtId="0" hierarchy="27" level="32767"/>
    <cacheField name="[Calender_Table].[Date (Year)].[Date (Year)]" caption="Date (Year)" numFmtId="0" hierarchy="3" level="1">
      <sharedItems containsSemiMixedTypes="0" containsNonDate="0" containsString="0"/>
    </cacheField>
  </cacheFields>
  <cacheHierarchies count="39">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ent Status]" caption="Patient Atent Status" attribute="1" defaultMemberUniqueName="[Hospital Emergency Room Data].[Patient Atent Status].[All]" allUniqueName="[Hospital Emergency Room Data].[Patient Atent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ent Status]" caption="Count of Patient Atent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jun Anil" refreshedDate="45986.539670833336" createdVersion="5" refreshedVersion="8" minRefreshableVersion="3" recordCount="0" supportSubquery="1" supportAdvancedDrill="1" xr:uid="{094FF2BA-E2A7-47ED-87EF-A7F8C326BD02}">
  <cacheSource type="external" connectionId="3"/>
  <cacheFields count="4">
    <cacheField name="[Calender_Table].[Date (Month)].[Date (Month)]" caption="Date (Month)" numFmtId="0" hierarchy="1" level="1">
      <sharedItems count="1">
        <s v="Apr"/>
      </sharedItems>
    </cacheField>
    <cacheField name="[Calender_Table].[Date].[Date]" caption="Date" numFmtId="0" level="1">
      <sharedItems containsSemiMixedTypes="0" containsNonDate="0" containsDate="1" containsString="0" minDate="2023-04-01T00:00:00" maxDate="2024-05-01T00:00:00" count="6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sharedItems>
    </cacheField>
    <cacheField name="[Calender_Table].[Date (Quarter)].[Date (Quarter)]" caption="Date (Quarter)" numFmtId="0" hierarchy="4" level="1">
      <sharedItems count="1">
        <s v="Qtr2"/>
      </sharedItems>
    </cacheField>
    <cacheField name="[Calender_Table].[Date (Year)].[Date (Year)]" caption="Date (Year)" numFmtId="0" hierarchy="3" level="1">
      <sharedItems count="1">
        <s v="2024"/>
      </sharedItems>
    </cacheField>
  </cacheFields>
  <cacheHierarchies count="39">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ent Status]" caption="Patient Atent Status" attribute="1" defaultMemberUniqueName="[Hospital Emergency Room Data].[Patient Atent Status].[All]" allUniqueName="[Hospital Emergency Room Data].[Patient Atent Status].[All]" dimensionUniqueName="[Hospital Emergency Room Data]" displayFolder="" count="2"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2"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2"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ent Status]" caption="Count of Patient Atent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jun Anil" refreshedDate="45976.538054166667" createdVersion="3" refreshedVersion="8" minRefreshableVersion="3" recordCount="0" supportSubquery="1" supportAdvancedDrill="1" xr:uid="{B5E2D3FD-7E11-4A89-96D4-A97B96BF7D21}">
  <cacheSource type="external" connectionId="3">
    <extLst>
      <ext xmlns:x14="http://schemas.microsoft.com/office/spreadsheetml/2009/9/main" uri="{F057638F-6D5F-4e77-A914-E7F072B9BCA8}">
        <x14:sourceConnection name="ThisWorkbookDataModel"/>
      </ext>
    </extLst>
  </cacheSource>
  <cacheFields count="0"/>
  <cacheHierarchies count="39">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ent Status]" caption="Patient Atent Status" attribute="1" defaultMemberUniqueName="[Hospital Emergency Room Data].[Patient Atent Status].[All]" allUniqueName="[Hospital Emergency Room Data].[Patient Atent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ent Status]" caption="Count of Patient Atent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101282719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D81BE6-A4BD-4298-8539-60D1C3EB464C}" name="PivotTable3" cacheId="2" applyNumberFormats="0" applyBorderFormats="0" applyFontFormats="0" applyPatternFormats="0" applyAlignmentFormats="0" applyWidthHeightFormats="1" dataCaption="Values" tag="c3d13f37-1cfe-400f-870a-efdb088ee2bf" updatedVersion="8" minRefreshableVersion="3" subtotalHiddenItems="1" itemPrintTitles="1" createdVersion="5" indent="0" outline="1" outlineData="1" multipleFieldFilters="0">
  <location ref="B8:B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0">
      <pivotArea outline="0" collapsedLevelsAreSubtotals="1" fieldPosition="0"/>
    </format>
  </formats>
  <pivotHierarchies count="39">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9C2592-3078-4315-BEC5-B30D6673B2C7}" name="PivotTable9" cacheId="8" applyNumberFormats="0" applyBorderFormats="0" applyFontFormats="0" applyPatternFormats="0" applyAlignmentFormats="0" applyWidthHeightFormats="1" dataCaption="Values" tag="2b6bdadd-8ab7-42c7-8a67-9c1a26f23a7a" updatedVersion="8" minRefreshableVersion="3" subtotalHiddenItems="1" itemPrintTitles="1" createdVersion="5" indent="0" outline="1" outlineData="1" multipleFieldFilters="0" chartFormat="63">
  <location ref="N40:O4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1">
      <pivotArea outline="0" collapsedLevelsAreSubtotals="1" fieldPosition="0"/>
    </format>
  </formats>
  <chartFormats count="6">
    <chartFormat chart="59" format="0" series="1">
      <pivotArea type="data" outline="0" fieldPosition="0">
        <references count="1">
          <reference field="4294967294" count="1" selected="0">
            <x v="0"/>
          </reference>
        </references>
      </pivotArea>
    </chartFormat>
    <chartFormat chart="62" format="4" series="1">
      <pivotArea type="data" outline="0" fieldPosition="0">
        <references count="1">
          <reference field="4294967294" count="1" selected="0">
            <x v="0"/>
          </reference>
        </references>
      </pivotArea>
    </chartFormat>
    <chartFormat chart="62" format="5">
      <pivotArea type="data" outline="0" fieldPosition="0">
        <references count="2">
          <reference field="4294967294" count="1" selected="0">
            <x v="0"/>
          </reference>
          <reference field="1" count="1" selected="0">
            <x v="0"/>
          </reference>
        </references>
      </pivotArea>
    </chartFormat>
    <chartFormat chart="62" format="6">
      <pivotArea type="data" outline="0" fieldPosition="0">
        <references count="2">
          <reference field="4294967294" count="1" selected="0">
            <x v="0"/>
          </reference>
          <reference field="1" count="1" selected="0">
            <x v="1"/>
          </reference>
        </references>
      </pivotArea>
    </chartFormat>
    <chartFormat chart="59" format="1">
      <pivotArea type="data" outline="0" fieldPosition="0">
        <references count="2">
          <reference field="4294967294" count="1" selected="0">
            <x v="0"/>
          </reference>
          <reference field="1" count="1" selected="0">
            <x v="0"/>
          </reference>
        </references>
      </pivotArea>
    </chartFormat>
    <chartFormat chart="59" format="2">
      <pivotArea type="data" outline="0" fieldPosition="0">
        <references count="2">
          <reference field="4294967294" count="1" selected="0">
            <x v="0"/>
          </reference>
          <reference field="1" count="1" selected="0">
            <x v="1"/>
          </reference>
        </references>
      </pivotArea>
    </chartFormat>
  </chartFormats>
  <pivotHierarchies count="39">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072488-3D28-409A-AB94-9E022E409BED}" name="PivotTable4" cacheId="3" applyNumberFormats="0" applyBorderFormats="0" applyFontFormats="0" applyPatternFormats="0" applyAlignmentFormats="0" applyWidthHeightFormats="1" dataCaption="Values" tag="1fed345f-2b19-46ca-9f5c-f701f67eaf73" updatedVersion="8" minRefreshableVersion="3" subtotalHiddenItems="1" itemPrintTitles="1" createdVersion="5" indent="0" outline="1" outlineData="1" multipleFieldFilters="0" chartFormat="8">
  <location ref="J4:K36"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1" subtotal="average" baseField="0" baseItem="0"/>
  </dataFields>
  <formats count="1">
    <format dxfId="2">
      <pivotArea collapsedLevelsAreSubtotals="1" fieldPosition="0">
        <references count="1">
          <reference field="2" count="0"/>
        </references>
      </pivotArea>
    </format>
  </format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C283BC-11BC-4278-B8D0-F228B671F58F}" name="PivotTable11" cacheId="10" applyNumberFormats="0" applyBorderFormats="0" applyFontFormats="0" applyPatternFormats="0" applyAlignmentFormats="0" applyWidthHeightFormats="1" dataCaption="Values" tag="33cc382f-d83a-4a7c-8715-f31ced437fd0" updatedVersion="8" minRefreshableVersion="3" subtotalHiddenItems="1" itemPrintTitles="1" createdVersion="5" indent="0" outline="1" outlineData="1" multipleFieldFilters="0" chartFormat="67">
  <location ref="N59:O6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Patient Id" fld="2" subtotal="count" baseField="0" baseItem="0"/>
  </dataFields>
  <formats count="2">
    <format dxfId="4">
      <pivotArea outline="0" collapsedLevelsAreSubtotals="1" fieldPosition="0"/>
    </format>
    <format dxfId="3">
      <pivotArea collapsedLevelsAreSubtotals="1" fieldPosition="0">
        <references count="1">
          <reference field="1" count="0"/>
        </references>
      </pivotArea>
    </format>
  </formats>
  <chartFormats count="2">
    <chartFormat chart="63" format="0" series="1">
      <pivotArea type="data" outline="0" fieldPosition="0">
        <references count="1">
          <reference field="4294967294" count="1" selected="0">
            <x v="0"/>
          </reference>
        </references>
      </pivotArea>
    </chartFormat>
    <chartFormat chart="66" format="2"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8D2A1DA-D50C-46AC-AAE1-BF99D24937C7}" name="PivotTable6" cacheId="5" applyNumberFormats="0" applyBorderFormats="0" applyFontFormats="0" applyPatternFormats="0" applyAlignmentFormats="0" applyWidthHeightFormats="1" dataCaption="Values" tag="b71e5ae4-77a1-46b1-9ca2-99605589e6d4" updatedVersion="8" minRefreshableVersion="3" subtotalHiddenItems="1" itemPrintTitles="1" createdVersion="5" indent="0" outline="1" outlineData="1" multipleFieldFilters="0" chartFormat="10">
  <location ref="Q4:R36" firstHeaderRow="1" firstDataRow="1" firstDataCol="1"/>
  <pivotFields count="4">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0" subtotal="average" baseField="0" baseItem="0"/>
  </dataFields>
  <formats count="1">
    <format dxfId="5">
      <pivotArea outline="0" collapsedLevelsAreSubtotals="1" fieldPosition="0"/>
    </format>
  </formats>
  <chartFormats count="2">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702793D-6A00-4BBA-97E7-0EDD6149F2D3}" name="PivotTable10" cacheId="9" applyNumberFormats="0" applyBorderFormats="0" applyFontFormats="0" applyPatternFormats="0" applyAlignmentFormats="0" applyWidthHeightFormats="1" dataCaption="Values" tag="840e1ac9-1262-4bc5-bc7f-0f1124723fbe" updatedVersion="8" minRefreshableVersion="3" subtotalHiddenItems="1" itemPrintTitles="1" createdVersion="5" indent="0" outline="1" outlineData="1" multipleFieldFilters="0" chartFormat="67">
  <location ref="S40:T4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ent Status" fld="2" subtotal="count" baseField="0" baseItem="0"/>
  </dataFields>
  <formats count="1">
    <format dxfId="6">
      <pivotArea outline="0" collapsedLevelsAreSubtotals="1" fieldPosition="0"/>
    </format>
  </formats>
  <chartFormats count="6">
    <chartFormat chart="63" format="0" series="1">
      <pivotArea type="data" outline="0" fieldPosition="0">
        <references count="1">
          <reference field="4294967294" count="1" selected="0">
            <x v="0"/>
          </reference>
        </references>
      </pivotArea>
    </chartFormat>
    <chartFormat chart="66" format="4" series="1">
      <pivotArea type="data" outline="0" fieldPosition="0">
        <references count="1">
          <reference field="4294967294" count="1" selected="0">
            <x v="0"/>
          </reference>
        </references>
      </pivotArea>
    </chartFormat>
    <chartFormat chart="66" format="5">
      <pivotArea type="data" outline="0" fieldPosition="0">
        <references count="2">
          <reference field="4294967294" count="1" selected="0">
            <x v="0"/>
          </reference>
          <reference field="1" count="1" selected="0">
            <x v="0"/>
          </reference>
        </references>
      </pivotArea>
    </chartFormat>
    <chartFormat chart="66" format="6">
      <pivotArea type="data" outline="0" fieldPosition="0">
        <references count="2">
          <reference field="4294967294" count="1" selected="0">
            <x v="0"/>
          </reference>
          <reference field="1" count="1" selected="0">
            <x v="1"/>
          </reference>
        </references>
      </pivotArea>
    </chartFormat>
    <chartFormat chart="63" format="1">
      <pivotArea type="data" outline="0" fieldPosition="0">
        <references count="2">
          <reference field="4294967294" count="1" selected="0">
            <x v="0"/>
          </reference>
          <reference field="1" count="1" selected="0">
            <x v="0"/>
          </reference>
        </references>
      </pivotArea>
    </chartFormat>
    <chartFormat chart="63" format="2">
      <pivotArea type="data" outline="0" fieldPosition="0">
        <references count="2">
          <reference field="4294967294" count="1" selected="0">
            <x v="0"/>
          </reference>
          <reference field="1" count="1" selected="0">
            <x v="1"/>
          </reference>
        </references>
      </pivotArea>
    </chartFormat>
  </chartFormats>
  <pivotHierarchies count="39">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caption="Count of Patient Waittime"/>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BF588BB-D0EF-4740-A4DE-72921695C3DB}" name="PivotTable5" cacheId="4" applyNumberFormats="0" applyBorderFormats="0" applyFontFormats="0" applyPatternFormats="0" applyAlignmentFormats="0" applyWidthHeightFormats="1" dataCaption="Values" tag="85f8eb8b-f462-4a63-96c6-d3134b44bd4f" updatedVersion="8" minRefreshableVersion="3" subtotalHiddenItems="1" itemPrintTitles="1" createdVersion="5" indent="0" outline="1" outlineData="1" multipleFieldFilters="0">
  <location ref="B12:B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7">
      <pivotArea outline="0" collapsedLevelsAreSubtotals="1" fieldPosition="0"/>
    </format>
  </formats>
  <pivotHierarchies count="39">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D8B4C83-F7CD-4E19-B8F8-F6BF2792C026}" name="PivotTable7" cacheId="6" applyNumberFormats="0" applyBorderFormats="0" applyFontFormats="0" applyPatternFormats="0" applyAlignmentFormats="0" applyWidthHeightFormats="1" dataCaption="Values" tag="8e47dce8-c857-4e52-b4da-633fd257b01e" updatedVersion="8" minRefreshableVersion="3" subtotalHiddenItems="1" itemPrintTitles="1" createdVersion="5" indent="0" outline="1" outlineData="1" multipleFieldFilters="0" chartFormat="71">
  <location ref="B40:D43"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9">
      <pivotArea outline="0" collapsedLevelsAreSubtotals="1" fieldPosition="0"/>
    </format>
    <format dxfId="8">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40">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75A97B9-7751-444C-82E5-DF011A0FB12A}" name="PivotTable12" cacheId="11" applyNumberFormats="0" applyBorderFormats="0" applyFontFormats="0" applyPatternFormats="0" applyAlignmentFormats="0" applyWidthHeightFormats="1" dataCaption="Values" tag="5c1e2754-fc83-4a2c-9cc3-e8918a0fec81" updatedVersion="8" minRefreshableVersion="3" subtotalHiddenItems="1" itemPrintTitles="1" createdVersion="5" indent="0" outline="1" outlineData="1" multipleFieldFilters="0" chartFormat="67">
  <location ref="R59:R61"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10">
      <pivotArea outline="0" collapsedLevelsAreSubtotals="1" fieldPosition="0"/>
    </format>
  </formats>
  <pivotHierarchies count="39">
    <pivotHierarchy dragToData="1"/>
    <pivotHierarchy multipleItemSelectionAllowed="1" dragToData="1">
      <members count="1" level="1">
        <member name="[Calende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53E8480-5F17-422A-9A95-237DCDF3D44E}" name="PivotTable2" cacheId="1" applyNumberFormats="0" applyBorderFormats="0" applyFontFormats="0" applyPatternFormats="0" applyAlignmentFormats="0" applyWidthHeightFormats="1" dataCaption="Values" tag="dc552df1-fb45-43bc-9898-36938a840f82" updatedVersion="8" minRefreshableVersion="3" subtotalHiddenItems="1" itemPrintTitles="1" createdVersion="5" indent="0" outline="1" outlineData="1" multipleFieldFilters="0" chartFormat="50">
  <location ref="E4:F36"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11">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35" format="1"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EE7260B-A29F-401E-A00E-76993344677F}" name="PivotTable8" cacheId="7" applyNumberFormats="0" applyBorderFormats="0" applyFontFormats="0" applyPatternFormats="0" applyAlignmentFormats="0" applyWidthHeightFormats="1" dataCaption="Values" tag="bf2fd506-008e-45c4-89c9-ccc38a533840" updatedVersion="8" minRefreshableVersion="3" subtotalHiddenItems="1" itemPrintTitles="1" createdVersion="5" indent="0" outline="1" outlineData="1" multipleFieldFilters="0" chartFormat="66">
  <location ref="J40:K4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1" baseItem="0"/>
  </dataFields>
  <formats count="2">
    <format dxfId="12">
      <pivotArea outline="0" collapsedLevelsAreSubtotals="1" fieldPosition="0"/>
    </format>
    <format dxfId="11">
      <pivotArea collapsedLevelsAreSubtotals="1" fieldPosition="0">
        <references count="1">
          <reference field="1" count="0"/>
        </references>
      </pivotArea>
    </format>
  </formats>
  <chartFormats count="2">
    <chartFormat chart="59" format="0" series="1">
      <pivotArea type="data" outline="0" fieldPosition="0">
        <references count="1">
          <reference field="4294967294" count="1" selected="0">
            <x v="0"/>
          </reference>
        </references>
      </pivotArea>
    </chartFormat>
    <chartFormat chart="65" format="2"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352FB60-BBC2-4772-A624-53A7500D2AA6}" name="PivotTable1" cacheId="0" applyNumberFormats="0" applyBorderFormats="0" applyFontFormats="0" applyPatternFormats="0" applyAlignmentFormats="0" applyWidthHeightFormats="1" dataCaption="Values" tag="e8dec3fe-17b0-4878-8ec5-5dd9a9a82fdd" updatedVersion="8" minRefreshableVersion="3" subtotalHiddenItems="1" itemPrintTitles="1" createdVersion="5" indent="0" outline="1" outlineData="1" multipleFieldFilters="0">
  <location ref="B4:B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9">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D36265BB-E053-4605-86A6-CFBED39F4A72}" sourceName="[Calender_Table].[Date (Month)]">
  <pivotTables>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1012827192">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991760AC-487C-4CB6-8FC5-F74516AB4BED}" sourceName="[Calende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012827192">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DD952055-F34D-432C-B1B4-594418830478}" cache="Slicer_Date__Year" caption="Date (Year)" showCaption="0"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AB0480F2-35BA-485D-BB9D-9A7B8F7FF288}" cache="Slicer_Date__Month" caption="Date (Month)" showCaption="0" level="1" style="Mystyle" rowHeight="180000"/>
  <slicer name="Date (Year) 1" xr10:uid="{ECCBF2B2-DAE8-48AA-9A97-907303D45DA2}" cache="Slicer_Date__Year" caption="Date (Year)" columnCount="2" showCaption="0" level="1" style="Mystyl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T68"/>
  <sheetViews>
    <sheetView topLeftCell="A10" workbookViewId="0">
      <selection activeCell="C32" sqref="C32"/>
    </sheetView>
  </sheetViews>
  <sheetFormatPr defaultRowHeight="14.25" x14ac:dyDescent="0.45"/>
  <cols>
    <col min="2" max="2" width="14.796875" customWidth="1"/>
    <col min="3" max="3" width="13.19921875" customWidth="1"/>
    <col min="5" max="5" width="11.46484375" customWidth="1"/>
    <col min="6" max="6" width="2.59765625" customWidth="1"/>
    <col min="7" max="7" width="3.1328125" hidden="1" customWidth="1"/>
    <col min="10" max="10" width="21.53125" customWidth="1"/>
    <col min="11" max="11" width="9.19921875" bestFit="1" customWidth="1"/>
    <col min="17" max="17" width="18.53125" customWidth="1"/>
  </cols>
  <sheetData>
    <row r="3" spans="2:18" x14ac:dyDescent="0.45">
      <c r="B3" t="s">
        <v>1</v>
      </c>
    </row>
    <row r="4" spans="2:18" x14ac:dyDescent="0.45">
      <c r="B4" t="s">
        <v>0</v>
      </c>
      <c r="E4" s="3" t="s">
        <v>5</v>
      </c>
      <c r="F4" t="s">
        <v>0</v>
      </c>
      <c r="J4" s="3" t="s">
        <v>5</v>
      </c>
      <c r="K4" t="s">
        <v>2</v>
      </c>
      <c r="Q4" s="3" t="s">
        <v>5</v>
      </c>
      <c r="R4" t="s">
        <v>3</v>
      </c>
    </row>
    <row r="5" spans="2:18" x14ac:dyDescent="0.45">
      <c r="B5">
        <v>513</v>
      </c>
      <c r="E5" s="4" t="s">
        <v>38</v>
      </c>
      <c r="F5">
        <v>19</v>
      </c>
      <c r="J5" s="4" t="s">
        <v>38</v>
      </c>
      <c r="K5" s="1">
        <v>37.789473684210527</v>
      </c>
      <c r="Q5" s="4" t="s">
        <v>38</v>
      </c>
      <c r="R5" s="1">
        <v>6.666666666666667</v>
      </c>
    </row>
    <row r="6" spans="2:18" x14ac:dyDescent="0.45">
      <c r="E6" s="4" t="s">
        <v>39</v>
      </c>
      <c r="F6">
        <v>14</v>
      </c>
      <c r="J6" s="4" t="s">
        <v>39</v>
      </c>
      <c r="K6" s="1">
        <v>38.214285714285715</v>
      </c>
      <c r="Q6" s="4" t="s">
        <v>39</v>
      </c>
      <c r="R6" s="1">
        <v>3.5</v>
      </c>
    </row>
    <row r="7" spans="2:18" x14ac:dyDescent="0.45">
      <c r="E7" s="4" t="s">
        <v>40</v>
      </c>
      <c r="F7">
        <v>13</v>
      </c>
      <c r="J7" s="4" t="s">
        <v>40</v>
      </c>
      <c r="K7" s="1">
        <v>40.92307692307692</v>
      </c>
      <c r="Q7" s="4" t="s">
        <v>40</v>
      </c>
      <c r="R7" s="1">
        <v>4.5</v>
      </c>
    </row>
    <row r="8" spans="2:18" x14ac:dyDescent="0.45">
      <c r="B8" t="s">
        <v>2</v>
      </c>
      <c r="E8" s="4" t="s">
        <v>41</v>
      </c>
      <c r="F8">
        <v>22</v>
      </c>
      <c r="J8" s="4" t="s">
        <v>41</v>
      </c>
      <c r="K8" s="1">
        <v>34.5</v>
      </c>
      <c r="Q8" s="4" t="s">
        <v>41</v>
      </c>
      <c r="R8" s="1">
        <v>4.8</v>
      </c>
    </row>
    <row r="9" spans="2:18" x14ac:dyDescent="0.45">
      <c r="B9" s="1">
        <v>36.323586744639378</v>
      </c>
      <c r="E9" s="4" t="s">
        <v>42</v>
      </c>
      <c r="F9">
        <v>19</v>
      </c>
      <c r="J9" s="4" t="s">
        <v>42</v>
      </c>
      <c r="K9" s="1">
        <v>30.684210526315791</v>
      </c>
      <c r="Q9" s="4" t="s">
        <v>42</v>
      </c>
      <c r="R9" s="1">
        <v>7.75</v>
      </c>
    </row>
    <row r="10" spans="2:18" x14ac:dyDescent="0.45">
      <c r="E10" s="4" t="s">
        <v>43</v>
      </c>
      <c r="F10">
        <v>15</v>
      </c>
      <c r="J10" s="4" t="s">
        <v>43</v>
      </c>
      <c r="K10" s="1">
        <v>37.666666666666664</v>
      </c>
      <c r="Q10" s="4" t="s">
        <v>43</v>
      </c>
      <c r="R10" s="1">
        <v>6.2</v>
      </c>
    </row>
    <row r="11" spans="2:18" x14ac:dyDescent="0.45">
      <c r="E11" s="4" t="s">
        <v>44</v>
      </c>
      <c r="F11">
        <v>12</v>
      </c>
      <c r="J11" s="4" t="s">
        <v>44</v>
      </c>
      <c r="K11" s="1">
        <v>36.083333333333336</v>
      </c>
      <c r="Q11" s="4" t="s">
        <v>44</v>
      </c>
      <c r="R11" s="1">
        <v>3.75</v>
      </c>
    </row>
    <row r="12" spans="2:18" x14ac:dyDescent="0.45">
      <c r="B12" t="s">
        <v>3</v>
      </c>
      <c r="E12" s="4" t="s">
        <v>45</v>
      </c>
      <c r="F12">
        <v>21</v>
      </c>
      <c r="J12" s="4" t="s">
        <v>45</v>
      </c>
      <c r="K12" s="1">
        <v>43.523809523809526</v>
      </c>
      <c r="Q12" s="4" t="s">
        <v>45</v>
      </c>
      <c r="R12" s="1">
        <v>6.5</v>
      </c>
    </row>
    <row r="13" spans="2:18" x14ac:dyDescent="0.45">
      <c r="B13" s="1">
        <v>4.9591836734693882</v>
      </c>
      <c r="E13" s="4" t="s">
        <v>46</v>
      </c>
      <c r="F13">
        <v>12</v>
      </c>
      <c r="J13" s="4" t="s">
        <v>46</v>
      </c>
      <c r="K13" s="1">
        <v>29.5</v>
      </c>
      <c r="Q13" s="4" t="s">
        <v>46</v>
      </c>
      <c r="R13" s="1">
        <v>3</v>
      </c>
    </row>
    <row r="14" spans="2:18" x14ac:dyDescent="0.45">
      <c r="E14" s="4" t="s">
        <v>47</v>
      </c>
      <c r="F14">
        <v>13</v>
      </c>
      <c r="J14" s="4" t="s">
        <v>47</v>
      </c>
      <c r="K14" s="1">
        <v>38.07692307692308</v>
      </c>
      <c r="Q14" s="4" t="s">
        <v>47</v>
      </c>
      <c r="R14" s="1">
        <v>4.5</v>
      </c>
    </row>
    <row r="15" spans="2:18" x14ac:dyDescent="0.45">
      <c r="E15" s="4" t="s">
        <v>48</v>
      </c>
      <c r="F15">
        <v>13</v>
      </c>
      <c r="J15" s="4" t="s">
        <v>48</v>
      </c>
      <c r="K15" s="1">
        <v>35.846153846153847</v>
      </c>
      <c r="Q15" s="4" t="s">
        <v>48</v>
      </c>
      <c r="R15" s="1">
        <v>6</v>
      </c>
    </row>
    <row r="16" spans="2:18" x14ac:dyDescent="0.45">
      <c r="E16" s="4" t="s">
        <v>49</v>
      </c>
      <c r="F16">
        <v>16</v>
      </c>
      <c r="J16" s="4" t="s">
        <v>49</v>
      </c>
      <c r="K16" s="1">
        <v>32.625</v>
      </c>
      <c r="Q16" s="4" t="s">
        <v>49</v>
      </c>
      <c r="R16" s="1">
        <v>5.2</v>
      </c>
    </row>
    <row r="17" spans="5:18" x14ac:dyDescent="0.45">
      <c r="E17" s="4" t="s">
        <v>50</v>
      </c>
      <c r="F17">
        <v>20</v>
      </c>
      <c r="J17" s="4" t="s">
        <v>50</v>
      </c>
      <c r="K17" s="1">
        <v>39.200000000000003</v>
      </c>
      <c r="Q17" s="4" t="s">
        <v>50</v>
      </c>
      <c r="R17" s="1">
        <v>4.4000000000000004</v>
      </c>
    </row>
    <row r="18" spans="5:18" x14ac:dyDescent="0.45">
      <c r="E18" s="4" t="s">
        <v>51</v>
      </c>
      <c r="F18">
        <v>25</v>
      </c>
      <c r="J18" s="4" t="s">
        <v>51</v>
      </c>
      <c r="K18" s="1">
        <v>35.28</v>
      </c>
      <c r="Q18" s="4" t="s">
        <v>51</v>
      </c>
      <c r="R18" s="1">
        <v>3.4545454545454546</v>
      </c>
    </row>
    <row r="19" spans="5:18" x14ac:dyDescent="0.45">
      <c r="E19" s="4" t="s">
        <v>52</v>
      </c>
      <c r="F19">
        <v>20</v>
      </c>
      <c r="J19" s="4" t="s">
        <v>52</v>
      </c>
      <c r="K19" s="1">
        <v>32.549999999999997</v>
      </c>
      <c r="Q19" s="4" t="s">
        <v>52</v>
      </c>
      <c r="R19" s="1">
        <v>4.4000000000000004</v>
      </c>
    </row>
    <row r="20" spans="5:18" x14ac:dyDescent="0.45">
      <c r="E20" s="4" t="s">
        <v>53</v>
      </c>
      <c r="F20">
        <v>14</v>
      </c>
      <c r="J20" s="4" t="s">
        <v>53</v>
      </c>
      <c r="K20" s="1">
        <v>35.642857142857146</v>
      </c>
      <c r="Q20" s="4" t="s">
        <v>53</v>
      </c>
      <c r="R20" s="1">
        <v>5.833333333333333</v>
      </c>
    </row>
    <row r="21" spans="5:18" x14ac:dyDescent="0.45">
      <c r="E21" s="4" t="s">
        <v>54</v>
      </c>
      <c r="F21">
        <v>17</v>
      </c>
      <c r="J21" s="4" t="s">
        <v>54</v>
      </c>
      <c r="K21" s="1">
        <v>38.764705882352942</v>
      </c>
      <c r="Q21" s="4" t="s">
        <v>54</v>
      </c>
      <c r="R21" s="1">
        <v>4.4444444444444446</v>
      </c>
    </row>
    <row r="22" spans="5:18" x14ac:dyDescent="0.45">
      <c r="E22" s="4" t="s">
        <v>55</v>
      </c>
      <c r="F22">
        <v>20</v>
      </c>
      <c r="J22" s="4" t="s">
        <v>55</v>
      </c>
      <c r="K22" s="1">
        <v>39.9</v>
      </c>
      <c r="Q22" s="4" t="s">
        <v>55</v>
      </c>
      <c r="R22" s="1">
        <v>5.333333333333333</v>
      </c>
    </row>
    <row r="23" spans="5:18" x14ac:dyDescent="0.45">
      <c r="E23" s="4" t="s">
        <v>56</v>
      </c>
      <c r="F23">
        <v>10</v>
      </c>
      <c r="J23" s="4" t="s">
        <v>56</v>
      </c>
      <c r="K23" s="1">
        <v>41.6</v>
      </c>
      <c r="Q23" s="4" t="s">
        <v>56</v>
      </c>
      <c r="R23" s="1">
        <v>5.333333333333333</v>
      </c>
    </row>
    <row r="24" spans="5:18" x14ac:dyDescent="0.45">
      <c r="E24" s="4" t="s">
        <v>57</v>
      </c>
      <c r="F24">
        <v>17</v>
      </c>
      <c r="J24" s="4" t="s">
        <v>57</v>
      </c>
      <c r="K24" s="1">
        <v>39.470588235294116</v>
      </c>
      <c r="Q24" s="4" t="s">
        <v>57</v>
      </c>
      <c r="R24" s="1">
        <v>5.5714285714285712</v>
      </c>
    </row>
    <row r="25" spans="5:18" x14ac:dyDescent="0.45">
      <c r="E25" s="4" t="s">
        <v>58</v>
      </c>
      <c r="F25">
        <v>15</v>
      </c>
      <c r="J25" s="4" t="s">
        <v>58</v>
      </c>
      <c r="K25" s="1">
        <v>27.733333333333334</v>
      </c>
      <c r="Q25" s="4" t="s">
        <v>58</v>
      </c>
      <c r="R25" s="1">
        <v>5</v>
      </c>
    </row>
    <row r="26" spans="5:18" x14ac:dyDescent="0.45">
      <c r="E26" s="4" t="s">
        <v>59</v>
      </c>
      <c r="F26">
        <v>16</v>
      </c>
      <c r="J26" s="4" t="s">
        <v>59</v>
      </c>
      <c r="K26" s="1">
        <v>36.875</v>
      </c>
      <c r="Q26" s="4" t="s">
        <v>59</v>
      </c>
      <c r="R26" s="1">
        <v>6.4</v>
      </c>
    </row>
    <row r="27" spans="5:18" x14ac:dyDescent="0.45">
      <c r="E27" s="4" t="s">
        <v>60</v>
      </c>
      <c r="F27">
        <v>18</v>
      </c>
      <c r="J27" s="4" t="s">
        <v>60</v>
      </c>
      <c r="K27" s="1">
        <v>40.333333333333336</v>
      </c>
      <c r="Q27" s="4" t="s">
        <v>60</v>
      </c>
      <c r="R27" s="1">
        <v>5.333333333333333</v>
      </c>
    </row>
    <row r="28" spans="5:18" x14ac:dyDescent="0.45">
      <c r="E28" s="4" t="s">
        <v>61</v>
      </c>
      <c r="F28">
        <v>16</v>
      </c>
      <c r="J28" s="4" t="s">
        <v>61</v>
      </c>
      <c r="K28" s="1">
        <v>36.5</v>
      </c>
      <c r="Q28" s="4" t="s">
        <v>61</v>
      </c>
      <c r="R28" s="1">
        <v>3.75</v>
      </c>
    </row>
    <row r="29" spans="5:18" x14ac:dyDescent="0.45">
      <c r="E29" s="4" t="s">
        <v>62</v>
      </c>
      <c r="F29">
        <v>15</v>
      </c>
      <c r="J29" s="4" t="s">
        <v>62</v>
      </c>
      <c r="K29" s="1">
        <v>32.866666666666667</v>
      </c>
      <c r="Q29" s="4" t="s">
        <v>62</v>
      </c>
      <c r="R29" s="1">
        <v>6.333333333333333</v>
      </c>
    </row>
    <row r="30" spans="5:18" x14ac:dyDescent="0.45">
      <c r="E30" s="4" t="s">
        <v>63</v>
      </c>
      <c r="F30">
        <v>14</v>
      </c>
      <c r="J30" s="4" t="s">
        <v>63</v>
      </c>
      <c r="K30" s="1">
        <v>36.642857142857146</v>
      </c>
      <c r="Q30" s="4" t="s">
        <v>63</v>
      </c>
      <c r="R30" s="1">
        <v>10</v>
      </c>
    </row>
    <row r="31" spans="5:18" x14ac:dyDescent="0.45">
      <c r="E31" s="4" t="s">
        <v>64</v>
      </c>
      <c r="F31">
        <v>16</v>
      </c>
      <c r="J31" s="4" t="s">
        <v>64</v>
      </c>
      <c r="K31" s="1">
        <v>36.5625</v>
      </c>
      <c r="Q31" s="4" t="s">
        <v>64</v>
      </c>
      <c r="R31" s="1">
        <v>5</v>
      </c>
    </row>
    <row r="32" spans="5:18" x14ac:dyDescent="0.45">
      <c r="E32" s="4" t="s">
        <v>65</v>
      </c>
      <c r="F32">
        <v>20</v>
      </c>
      <c r="J32" s="4" t="s">
        <v>65</v>
      </c>
      <c r="K32" s="1">
        <v>32.15</v>
      </c>
      <c r="Q32" s="4" t="s">
        <v>65</v>
      </c>
      <c r="R32" s="1">
        <v>5.333333333333333</v>
      </c>
    </row>
    <row r="33" spans="2:20" x14ac:dyDescent="0.45">
      <c r="E33" s="4" t="s">
        <v>66</v>
      </c>
      <c r="F33">
        <v>19</v>
      </c>
      <c r="J33" s="4" t="s">
        <v>66</v>
      </c>
      <c r="K33" s="1">
        <v>38.368421052631582</v>
      </c>
      <c r="Q33" s="4" t="s">
        <v>66</v>
      </c>
      <c r="R33" s="1">
        <v>4.8</v>
      </c>
    </row>
    <row r="34" spans="2:20" x14ac:dyDescent="0.45">
      <c r="E34" s="4" t="s">
        <v>67</v>
      </c>
      <c r="F34">
        <v>14</v>
      </c>
      <c r="J34" s="4" t="s">
        <v>67</v>
      </c>
      <c r="K34" s="1">
        <v>33.071428571428569</v>
      </c>
      <c r="Q34" s="4" t="s">
        <v>67</v>
      </c>
      <c r="R34" s="1">
        <v>5</v>
      </c>
    </row>
    <row r="35" spans="2:20" x14ac:dyDescent="0.45">
      <c r="E35" s="4" t="s">
        <v>68</v>
      </c>
      <c r="F35">
        <v>18</v>
      </c>
      <c r="J35" s="4" t="s">
        <v>68</v>
      </c>
      <c r="K35" s="1">
        <v>36.444444444444443</v>
      </c>
      <c r="Q35" s="4" t="s">
        <v>68</v>
      </c>
      <c r="R35" s="1">
        <v>1.4</v>
      </c>
    </row>
    <row r="36" spans="2:20" x14ac:dyDescent="0.45">
      <c r="E36" s="4" t="s">
        <v>4</v>
      </c>
      <c r="F36">
        <v>513</v>
      </c>
      <c r="J36" s="4" t="s">
        <v>4</v>
      </c>
      <c r="K36">
        <v>36.323586744639378</v>
      </c>
      <c r="Q36" s="4" t="s">
        <v>4</v>
      </c>
      <c r="R36" s="1">
        <v>4.9591836734693882</v>
      </c>
    </row>
    <row r="40" spans="2:20" x14ac:dyDescent="0.45">
      <c r="B40" s="3" t="s">
        <v>5</v>
      </c>
      <c r="C40" t="s">
        <v>6</v>
      </c>
      <c r="D40" t="s">
        <v>9</v>
      </c>
      <c r="J40" s="3" t="s">
        <v>5</v>
      </c>
      <c r="K40" t="s">
        <v>21</v>
      </c>
      <c r="N40" s="3" t="s">
        <v>5</v>
      </c>
      <c r="O40" t="s">
        <v>24</v>
      </c>
      <c r="S40" s="3" t="s">
        <v>5</v>
      </c>
      <c r="T40" t="s">
        <v>28</v>
      </c>
    </row>
    <row r="41" spans="2:20" x14ac:dyDescent="0.45">
      <c r="B41" s="4" t="s">
        <v>7</v>
      </c>
      <c r="C41" s="1">
        <v>269</v>
      </c>
      <c r="D41" s="6">
        <v>0.52436647173489281</v>
      </c>
      <c r="J41" s="4" t="s">
        <v>13</v>
      </c>
      <c r="K41" s="12">
        <v>76</v>
      </c>
      <c r="N41" s="4" t="s">
        <v>22</v>
      </c>
      <c r="O41" s="1">
        <v>241</v>
      </c>
      <c r="S41" s="4" t="s">
        <v>25</v>
      </c>
      <c r="T41" s="1">
        <v>316</v>
      </c>
    </row>
    <row r="42" spans="2:20" x14ac:dyDescent="0.45">
      <c r="B42" s="4" t="s">
        <v>8</v>
      </c>
      <c r="C42" s="1">
        <v>244</v>
      </c>
      <c r="D42" s="6">
        <v>0.47563352826510719</v>
      </c>
      <c r="J42" s="4" t="s">
        <v>14</v>
      </c>
      <c r="K42" s="12">
        <v>69</v>
      </c>
      <c r="N42" s="4" t="s">
        <v>23</v>
      </c>
      <c r="O42" s="1">
        <v>272</v>
      </c>
      <c r="S42" s="4" t="s">
        <v>26</v>
      </c>
      <c r="T42" s="1">
        <v>197</v>
      </c>
    </row>
    <row r="43" spans="2:20" x14ac:dyDescent="0.45">
      <c r="B43" s="4" t="s">
        <v>4</v>
      </c>
      <c r="C43" s="1">
        <v>513</v>
      </c>
      <c r="D43" s="6">
        <v>1</v>
      </c>
      <c r="J43" s="4" t="s">
        <v>15</v>
      </c>
      <c r="K43" s="12">
        <v>64</v>
      </c>
      <c r="N43" s="4" t="s">
        <v>4</v>
      </c>
      <c r="O43" s="1">
        <v>513</v>
      </c>
      <c r="S43" s="4" t="s">
        <v>4</v>
      </c>
      <c r="T43" s="1">
        <v>513</v>
      </c>
    </row>
    <row r="44" spans="2:20" x14ac:dyDescent="0.45">
      <c r="J44" s="4" t="s">
        <v>16</v>
      </c>
      <c r="K44" s="12">
        <v>59</v>
      </c>
    </row>
    <row r="45" spans="2:20" x14ac:dyDescent="0.45">
      <c r="J45" s="4" t="s">
        <v>17</v>
      </c>
      <c r="K45" s="12">
        <v>58</v>
      </c>
    </row>
    <row r="46" spans="2:20" x14ac:dyDescent="0.45">
      <c r="B46" s="8" t="s">
        <v>10</v>
      </c>
      <c r="C46" s="8" t="s">
        <v>12</v>
      </c>
      <c r="D46" s="8" t="s">
        <v>11</v>
      </c>
      <c r="E46" s="7"/>
      <c r="G46" s="7"/>
      <c r="J46" s="4" t="s">
        <v>18</v>
      </c>
      <c r="K46" s="12">
        <v>66</v>
      </c>
    </row>
    <row r="47" spans="2:20" x14ac:dyDescent="0.45">
      <c r="B47" s="9" t="str">
        <f>B42</f>
        <v>Not Admitted</v>
      </c>
      <c r="C47" s="11">
        <f>C42</f>
        <v>244</v>
      </c>
      <c r="D47" s="10">
        <f>D42</f>
        <v>0.47563352826510719</v>
      </c>
      <c r="J47" s="4" t="s">
        <v>19</v>
      </c>
      <c r="K47" s="12">
        <v>67</v>
      </c>
    </row>
    <row r="48" spans="2:20" x14ac:dyDescent="0.45">
      <c r="B48" s="9" t="str">
        <f>B41</f>
        <v>Admitted</v>
      </c>
      <c r="C48" s="11">
        <f>C41</f>
        <v>269</v>
      </c>
      <c r="D48" s="10">
        <f>D41</f>
        <v>0.52436647173489281</v>
      </c>
      <c r="J48" s="4" t="s">
        <v>20</v>
      </c>
      <c r="K48" s="12">
        <v>54</v>
      </c>
    </row>
    <row r="49" spans="10:18" x14ac:dyDescent="0.45">
      <c r="J49" s="4" t="s">
        <v>4</v>
      </c>
      <c r="K49" s="1">
        <v>513</v>
      </c>
    </row>
    <row r="59" spans="10:18" x14ac:dyDescent="0.45">
      <c r="N59" s="3" t="s">
        <v>5</v>
      </c>
      <c r="O59" t="s">
        <v>27</v>
      </c>
      <c r="R59" s="3" t="s">
        <v>5</v>
      </c>
    </row>
    <row r="60" spans="10:18" x14ac:dyDescent="0.45">
      <c r="N60" s="4" t="s">
        <v>29</v>
      </c>
      <c r="O60" s="12">
        <v>14</v>
      </c>
      <c r="R60" s="4" t="s">
        <v>37</v>
      </c>
    </row>
    <row r="61" spans="10:18" x14ac:dyDescent="0.45">
      <c r="N61" s="4" t="s">
        <v>30</v>
      </c>
      <c r="O61" s="12">
        <v>4</v>
      </c>
      <c r="R61" s="4" t="s">
        <v>4</v>
      </c>
    </row>
    <row r="62" spans="10:18" x14ac:dyDescent="0.45">
      <c r="N62" s="4" t="s">
        <v>31</v>
      </c>
      <c r="O62" s="12">
        <v>103</v>
      </c>
    </row>
    <row r="63" spans="10:18" x14ac:dyDescent="0.45">
      <c r="N63" s="4" t="s">
        <v>32</v>
      </c>
      <c r="O63" s="12">
        <v>9</v>
      </c>
    </row>
    <row r="64" spans="10:18" x14ac:dyDescent="0.45">
      <c r="N64" s="4" t="s">
        <v>33</v>
      </c>
      <c r="O64" s="12">
        <v>299</v>
      </c>
    </row>
    <row r="65" spans="14:15" x14ac:dyDescent="0.45">
      <c r="N65" s="4" t="s">
        <v>34</v>
      </c>
      <c r="O65" s="12">
        <v>65</v>
      </c>
    </row>
    <row r="66" spans="14:15" x14ac:dyDescent="0.45">
      <c r="N66" s="4" t="s">
        <v>35</v>
      </c>
      <c r="O66" s="12">
        <v>14</v>
      </c>
    </row>
    <row r="67" spans="14:15" x14ac:dyDescent="0.45">
      <c r="N67" s="4" t="s">
        <v>36</v>
      </c>
      <c r="O67" s="12">
        <v>5</v>
      </c>
    </row>
    <row r="68" spans="14:15" x14ac:dyDescent="0.45">
      <c r="N68" s="4" t="s">
        <v>4</v>
      </c>
      <c r="O68" s="1">
        <v>513</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EABE4-96FE-4B4B-BF29-0729B6836C24}">
  <dimension ref="A1:N25"/>
  <sheetViews>
    <sheetView tabSelected="1" zoomScale="180" zoomScaleNormal="180" workbookViewId="0"/>
  </sheetViews>
  <sheetFormatPr defaultRowHeight="14.25" x14ac:dyDescent="0.45"/>
  <sheetData>
    <row r="1" spans="1:14" x14ac:dyDescent="0.45">
      <c r="A1" s="2"/>
      <c r="B1" s="2"/>
      <c r="C1" s="2"/>
      <c r="D1" s="2"/>
      <c r="E1" s="2"/>
      <c r="F1" s="2"/>
      <c r="G1" s="2"/>
      <c r="H1" s="2"/>
      <c r="I1" s="2"/>
      <c r="J1" s="2"/>
      <c r="K1" s="2"/>
      <c r="L1" s="2"/>
      <c r="M1" s="2"/>
      <c r="N1" s="2"/>
    </row>
    <row r="2" spans="1:14" x14ac:dyDescent="0.45">
      <c r="A2" s="2"/>
      <c r="B2" s="2"/>
      <c r="C2" s="2"/>
      <c r="D2" s="2"/>
      <c r="E2" s="2"/>
      <c r="F2" s="2"/>
      <c r="G2" s="2"/>
      <c r="H2" s="2"/>
      <c r="I2" s="2"/>
      <c r="J2" s="2"/>
      <c r="K2" s="2"/>
      <c r="L2" s="2"/>
      <c r="M2" s="2"/>
      <c r="N2" s="2"/>
    </row>
    <row r="3" spans="1:14" x14ac:dyDescent="0.45">
      <c r="A3" s="2"/>
      <c r="B3" s="2"/>
      <c r="C3" s="2"/>
      <c r="D3" s="2"/>
      <c r="E3" s="2"/>
      <c r="F3" s="2"/>
      <c r="G3" s="2"/>
      <c r="H3" s="2"/>
      <c r="I3" s="2"/>
      <c r="J3" s="2"/>
      <c r="K3" s="2"/>
      <c r="L3" s="2"/>
      <c r="M3" s="2"/>
      <c r="N3" s="2"/>
    </row>
    <row r="4" spans="1:14" x14ac:dyDescent="0.45">
      <c r="A4" s="2"/>
      <c r="B4" s="2"/>
      <c r="C4" s="2"/>
      <c r="D4" s="2"/>
      <c r="E4" s="2"/>
      <c r="F4" s="2"/>
      <c r="G4" s="2"/>
      <c r="H4" s="2"/>
      <c r="I4" s="2"/>
      <c r="J4" s="2"/>
      <c r="K4" s="2"/>
      <c r="L4" s="2"/>
      <c r="M4" s="2"/>
      <c r="N4" s="2"/>
    </row>
    <row r="5" spans="1:14" x14ac:dyDescent="0.45">
      <c r="A5" s="2"/>
      <c r="B5" s="2"/>
      <c r="C5" s="2"/>
      <c r="D5" s="2"/>
      <c r="E5" s="2"/>
      <c r="F5" s="2"/>
      <c r="G5" s="2"/>
      <c r="H5" s="2"/>
      <c r="I5" s="2"/>
      <c r="J5" s="2"/>
      <c r="K5" s="2"/>
      <c r="L5" s="2"/>
      <c r="M5" s="2"/>
      <c r="N5" s="2"/>
    </row>
    <row r="6" spans="1:14" x14ac:dyDescent="0.45">
      <c r="A6" s="2"/>
      <c r="B6" s="2"/>
      <c r="C6" s="2"/>
      <c r="D6" s="2"/>
      <c r="E6" s="2"/>
      <c r="F6" s="2"/>
      <c r="G6" s="2"/>
      <c r="H6" s="2"/>
      <c r="I6" s="2"/>
      <c r="J6" s="2"/>
      <c r="K6" s="2"/>
      <c r="L6" s="2"/>
      <c r="M6" s="2"/>
      <c r="N6" s="2"/>
    </row>
    <row r="7" spans="1:14" x14ac:dyDescent="0.45">
      <c r="A7" s="2"/>
      <c r="B7" s="2"/>
      <c r="C7" s="2"/>
      <c r="D7" s="2"/>
      <c r="E7" s="2"/>
      <c r="F7" s="2"/>
      <c r="G7" s="2"/>
      <c r="H7" s="2"/>
      <c r="I7" s="2"/>
      <c r="J7" s="2"/>
      <c r="K7" s="2"/>
      <c r="L7" s="2"/>
      <c r="M7" s="2"/>
      <c r="N7" s="2"/>
    </row>
    <row r="8" spans="1:14" x14ac:dyDescent="0.45">
      <c r="A8" s="2"/>
      <c r="B8" s="2"/>
      <c r="C8" s="2"/>
      <c r="D8" s="2"/>
      <c r="E8" s="2"/>
      <c r="F8" s="2"/>
      <c r="G8" s="2"/>
      <c r="H8" s="2"/>
      <c r="I8" s="2"/>
      <c r="J8" s="2"/>
      <c r="K8" s="2"/>
      <c r="L8" s="2"/>
      <c r="M8" s="2"/>
      <c r="N8" s="2"/>
    </row>
    <row r="9" spans="1:14" x14ac:dyDescent="0.45">
      <c r="A9" s="2"/>
      <c r="B9" s="2"/>
      <c r="C9" s="2"/>
      <c r="D9" s="2"/>
      <c r="E9" s="2"/>
      <c r="F9" s="2"/>
      <c r="G9" s="2"/>
      <c r="H9" s="2"/>
      <c r="I9" s="2"/>
      <c r="J9" s="2"/>
      <c r="K9" s="2"/>
      <c r="L9" s="2"/>
      <c r="M9" s="2"/>
      <c r="N9" s="2"/>
    </row>
    <row r="10" spans="1:14" x14ac:dyDescent="0.45">
      <c r="A10" s="2"/>
      <c r="B10" s="2"/>
      <c r="C10" s="2"/>
      <c r="D10" s="2"/>
      <c r="E10" s="2"/>
      <c r="F10" s="2"/>
      <c r="G10" s="2"/>
      <c r="H10" s="2"/>
      <c r="I10" s="2"/>
      <c r="J10" s="2"/>
      <c r="K10" s="2"/>
      <c r="L10" s="2"/>
      <c r="M10" s="2"/>
      <c r="N10" s="2"/>
    </row>
    <row r="11" spans="1:14" x14ac:dyDescent="0.45">
      <c r="A11" s="2"/>
      <c r="B11" s="2"/>
      <c r="C11" s="2"/>
      <c r="D11" s="2"/>
      <c r="E11" s="2"/>
      <c r="F11" s="2"/>
      <c r="G11" s="2"/>
      <c r="H11" s="2"/>
      <c r="I11" s="2"/>
      <c r="J11" s="2"/>
      <c r="K11" s="2"/>
      <c r="L11" s="2"/>
      <c r="M11" s="2"/>
      <c r="N11" s="2"/>
    </row>
    <row r="12" spans="1:14" x14ac:dyDescent="0.45">
      <c r="A12" s="2"/>
      <c r="B12" s="2"/>
      <c r="C12" s="2"/>
      <c r="D12" s="2"/>
      <c r="E12" s="2"/>
      <c r="F12" s="2"/>
      <c r="G12" s="2"/>
      <c r="H12" s="2"/>
      <c r="I12" s="2"/>
      <c r="J12" s="2"/>
      <c r="K12" s="2"/>
      <c r="L12" s="2"/>
      <c r="M12" s="2"/>
      <c r="N12" s="2"/>
    </row>
    <row r="13" spans="1:14" x14ac:dyDescent="0.45">
      <c r="A13" s="2"/>
      <c r="B13" s="2"/>
      <c r="C13" s="2"/>
      <c r="D13" s="2"/>
      <c r="E13" s="2"/>
      <c r="F13" s="2"/>
      <c r="G13" s="2"/>
      <c r="H13" s="2"/>
      <c r="I13" s="2"/>
      <c r="J13" s="2"/>
      <c r="K13" s="2"/>
      <c r="L13" s="2"/>
      <c r="M13" s="2"/>
      <c r="N13" s="2"/>
    </row>
    <row r="14" spans="1:14" x14ac:dyDescent="0.45">
      <c r="A14" s="2"/>
      <c r="B14" s="2"/>
      <c r="C14" s="2"/>
      <c r="D14" s="2"/>
      <c r="E14" s="2"/>
      <c r="F14" s="2"/>
      <c r="G14" s="2"/>
      <c r="H14" s="2"/>
      <c r="I14" s="2"/>
      <c r="J14" s="2"/>
      <c r="K14" s="2"/>
      <c r="L14" s="2"/>
      <c r="M14" s="2"/>
      <c r="N14" s="2"/>
    </row>
    <row r="15" spans="1:14" x14ac:dyDescent="0.45">
      <c r="A15" s="2"/>
      <c r="B15" s="2"/>
      <c r="C15" s="2"/>
      <c r="D15" s="2"/>
      <c r="E15" s="2"/>
      <c r="F15" s="2"/>
      <c r="G15" s="2"/>
      <c r="H15" s="2"/>
      <c r="I15" s="2"/>
      <c r="J15" s="2"/>
      <c r="K15" s="2"/>
      <c r="L15" s="2"/>
      <c r="M15" s="2"/>
      <c r="N15" s="2"/>
    </row>
    <row r="16" spans="1:14" x14ac:dyDescent="0.45">
      <c r="A16" s="2"/>
      <c r="B16" s="2"/>
      <c r="C16" s="2"/>
      <c r="D16" s="2"/>
      <c r="E16" s="2"/>
      <c r="F16" s="2"/>
      <c r="G16" s="2"/>
      <c r="H16" s="2"/>
      <c r="I16" s="2"/>
      <c r="J16" s="2"/>
      <c r="K16" s="2"/>
      <c r="L16" s="2"/>
      <c r="M16" s="2"/>
      <c r="N16" s="2"/>
    </row>
    <row r="17" spans="1:14" x14ac:dyDescent="0.45">
      <c r="A17" s="2"/>
      <c r="B17" s="2"/>
      <c r="C17" s="2"/>
      <c r="D17" s="2"/>
      <c r="E17" s="2"/>
      <c r="F17" s="2"/>
      <c r="G17" s="2"/>
      <c r="H17" s="2"/>
      <c r="I17" s="2"/>
      <c r="J17" s="2"/>
      <c r="K17" s="2"/>
      <c r="L17" s="2"/>
      <c r="M17" s="2"/>
      <c r="N17" s="2"/>
    </row>
    <row r="18" spans="1:14" x14ac:dyDescent="0.45">
      <c r="A18" s="2"/>
      <c r="B18" s="2"/>
      <c r="C18" s="2"/>
      <c r="D18" s="2"/>
      <c r="E18" s="2"/>
      <c r="F18" s="2"/>
      <c r="G18" s="2"/>
      <c r="H18" s="2"/>
      <c r="I18" s="2"/>
      <c r="J18" s="2"/>
      <c r="K18" s="2"/>
      <c r="L18" s="2"/>
      <c r="M18" s="2"/>
      <c r="N18" s="2"/>
    </row>
    <row r="19" spans="1:14" x14ac:dyDescent="0.45">
      <c r="A19" s="2"/>
      <c r="B19" s="2"/>
      <c r="C19" s="2"/>
      <c r="D19" s="2"/>
      <c r="E19" s="2"/>
      <c r="F19" s="2"/>
      <c r="G19" s="2"/>
      <c r="H19" s="2"/>
      <c r="I19" s="2"/>
      <c r="J19" s="2"/>
      <c r="K19" s="2"/>
      <c r="L19" s="2"/>
      <c r="M19" s="2"/>
      <c r="N19" s="2"/>
    </row>
    <row r="20" spans="1:14" x14ac:dyDescent="0.45">
      <c r="A20" s="2"/>
      <c r="B20" s="2"/>
      <c r="C20" s="2"/>
      <c r="D20" s="2"/>
      <c r="E20" s="2"/>
      <c r="F20" s="2"/>
      <c r="G20" s="2"/>
      <c r="H20" s="2"/>
      <c r="I20" s="2"/>
      <c r="J20" s="2"/>
      <c r="K20" s="2"/>
      <c r="L20" s="2"/>
      <c r="M20" s="2"/>
      <c r="N20" s="2"/>
    </row>
    <row r="21" spans="1:14" x14ac:dyDescent="0.45">
      <c r="A21" s="2"/>
      <c r="B21" s="2"/>
      <c r="C21" s="2"/>
      <c r="D21" s="2"/>
      <c r="E21" s="2"/>
      <c r="F21" s="2"/>
      <c r="G21" s="2"/>
      <c r="H21" s="2"/>
      <c r="I21" s="2"/>
      <c r="J21" s="2"/>
      <c r="K21" s="2"/>
      <c r="L21" s="2"/>
      <c r="M21" s="2"/>
      <c r="N21" s="2"/>
    </row>
    <row r="22" spans="1:14" x14ac:dyDescent="0.45">
      <c r="A22" s="2"/>
      <c r="B22" s="2"/>
      <c r="C22" s="2"/>
      <c r="D22" s="2"/>
      <c r="E22" s="2"/>
      <c r="F22" s="2"/>
      <c r="G22" s="2"/>
      <c r="H22" s="2"/>
      <c r="I22" s="2"/>
      <c r="J22" s="2"/>
      <c r="K22" s="2"/>
      <c r="L22" s="2"/>
      <c r="M22" s="2"/>
      <c r="N22" s="2"/>
    </row>
    <row r="23" spans="1:14" x14ac:dyDescent="0.45">
      <c r="A23" s="2"/>
      <c r="B23" s="2"/>
      <c r="C23" s="2"/>
      <c r="D23" s="2"/>
      <c r="E23" s="2"/>
      <c r="F23" s="2"/>
      <c r="G23" s="2"/>
      <c r="H23" s="2"/>
      <c r="I23" s="2"/>
      <c r="J23" s="2"/>
      <c r="K23" s="2"/>
      <c r="L23" s="2"/>
      <c r="M23" s="2"/>
      <c r="N23" s="2"/>
    </row>
    <row r="24" spans="1:14" x14ac:dyDescent="0.45">
      <c r="A24" s="2"/>
      <c r="B24" s="2"/>
      <c r="C24" s="2"/>
      <c r="D24" s="2"/>
      <c r="E24" s="2"/>
      <c r="F24" s="2"/>
      <c r="G24" s="2"/>
      <c r="H24" s="2"/>
      <c r="I24" s="2"/>
      <c r="J24" s="2"/>
      <c r="K24" s="2"/>
      <c r="L24" s="2"/>
      <c r="M24" s="2"/>
      <c r="N24" s="2"/>
    </row>
    <row r="25" spans="1:14" x14ac:dyDescent="0.45">
      <c r="A25" s="2"/>
      <c r="B25" s="2"/>
      <c r="C25" s="2"/>
      <c r="D25" s="2"/>
      <c r="E25" s="2"/>
      <c r="F25" s="2"/>
      <c r="G25" s="2"/>
      <c r="H25" s="2"/>
      <c r="I25" s="2"/>
      <c r="J25" s="2"/>
      <c r="K25" s="2"/>
      <c r="L25" s="2"/>
      <c r="M25" s="2"/>
      <c r="N25" s="2"/>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BB7DE-B1CB-4D96-8EDC-7DBE5E06AABA}">
  <dimension ref="A2:L21"/>
  <sheetViews>
    <sheetView zoomScale="110" zoomScaleNormal="110" workbookViewId="0"/>
  </sheetViews>
  <sheetFormatPr defaultRowHeight="14.25" x14ac:dyDescent="0.45"/>
  <sheetData>
    <row r="2" spans="1:12" x14ac:dyDescent="0.45">
      <c r="A2" s="5"/>
      <c r="B2" s="5"/>
      <c r="C2" s="5"/>
      <c r="D2" s="5"/>
      <c r="E2" s="5"/>
      <c r="F2" s="5"/>
      <c r="G2" s="5"/>
      <c r="H2" s="5"/>
      <c r="I2" s="5"/>
      <c r="J2" s="5"/>
      <c r="K2" s="5"/>
      <c r="L2" s="5"/>
    </row>
    <row r="3" spans="1:12" x14ac:dyDescent="0.45">
      <c r="A3" s="5"/>
      <c r="B3" s="5"/>
      <c r="C3" s="5"/>
      <c r="D3" s="5"/>
      <c r="E3" s="5"/>
      <c r="F3" s="5"/>
      <c r="G3" s="5"/>
      <c r="H3" s="5"/>
      <c r="I3" s="5"/>
      <c r="J3" s="5"/>
      <c r="K3" s="5"/>
      <c r="L3" s="5"/>
    </row>
    <row r="4" spans="1:12" x14ac:dyDescent="0.45">
      <c r="A4" s="5"/>
      <c r="B4" s="5"/>
      <c r="C4" s="5"/>
      <c r="D4" s="5"/>
      <c r="E4" s="5"/>
      <c r="F4" s="5"/>
      <c r="G4" s="5"/>
      <c r="H4" s="5"/>
      <c r="I4" s="5"/>
      <c r="J4" s="5"/>
      <c r="K4" s="5"/>
      <c r="L4" s="5"/>
    </row>
    <row r="5" spans="1:12" x14ac:dyDescent="0.45">
      <c r="A5" s="5"/>
      <c r="B5" s="5"/>
      <c r="C5" s="5"/>
      <c r="D5" s="5"/>
      <c r="E5" s="5"/>
      <c r="F5" s="5"/>
      <c r="G5" s="5"/>
      <c r="H5" s="5"/>
      <c r="I5" s="5"/>
      <c r="J5" s="5"/>
      <c r="K5" s="5"/>
      <c r="L5" s="5"/>
    </row>
    <row r="6" spans="1:12" x14ac:dyDescent="0.45">
      <c r="A6" s="5"/>
      <c r="B6" s="5"/>
      <c r="C6" s="5"/>
      <c r="D6" s="5"/>
      <c r="E6" s="5"/>
      <c r="F6" s="5"/>
      <c r="G6" s="5"/>
      <c r="H6" s="5"/>
      <c r="I6" s="5"/>
      <c r="J6" s="5"/>
      <c r="K6" s="5"/>
      <c r="L6" s="5"/>
    </row>
    <row r="7" spans="1:12" x14ac:dyDescent="0.45">
      <c r="A7" s="5"/>
      <c r="B7" s="5"/>
      <c r="C7" s="5"/>
      <c r="D7" s="5"/>
      <c r="E7" s="5"/>
      <c r="F7" s="5"/>
      <c r="G7" s="5"/>
      <c r="H7" s="5"/>
      <c r="I7" s="5"/>
      <c r="J7" s="5"/>
      <c r="K7" s="5"/>
      <c r="L7" s="5"/>
    </row>
    <row r="8" spans="1:12" x14ac:dyDescent="0.45">
      <c r="A8" s="5"/>
      <c r="B8" s="5"/>
      <c r="C8" s="5"/>
      <c r="D8" s="5"/>
      <c r="E8" s="5"/>
      <c r="F8" s="5"/>
      <c r="G8" s="5"/>
      <c r="H8" s="5"/>
      <c r="I8" s="5"/>
      <c r="J8" s="5"/>
      <c r="K8" s="5"/>
      <c r="L8" s="5"/>
    </row>
    <row r="9" spans="1:12" x14ac:dyDescent="0.45">
      <c r="A9" s="5"/>
      <c r="B9" s="5"/>
      <c r="C9" s="5"/>
      <c r="D9" s="5"/>
      <c r="E9" s="5"/>
      <c r="F9" s="5"/>
      <c r="G9" s="5"/>
      <c r="H9" s="5"/>
      <c r="I9" s="5"/>
      <c r="J9" s="5"/>
      <c r="K9" s="5"/>
      <c r="L9" s="5"/>
    </row>
    <row r="10" spans="1:12" x14ac:dyDescent="0.45">
      <c r="A10" s="5"/>
      <c r="B10" s="5"/>
      <c r="C10" s="5"/>
      <c r="D10" s="5"/>
      <c r="E10" s="5"/>
      <c r="F10" s="5"/>
      <c r="G10" s="5"/>
      <c r="H10" s="5"/>
      <c r="I10" s="5"/>
      <c r="J10" s="5"/>
      <c r="K10" s="5"/>
      <c r="L10" s="5"/>
    </row>
    <row r="11" spans="1:12" x14ac:dyDescent="0.45">
      <c r="A11" s="5"/>
      <c r="B11" s="5"/>
      <c r="C11" s="5"/>
      <c r="D11" s="5"/>
      <c r="E11" s="5"/>
      <c r="F11" s="5"/>
      <c r="G11" s="5"/>
      <c r="H11" s="5"/>
      <c r="I11" s="5"/>
      <c r="J11" s="5"/>
      <c r="K11" s="5"/>
      <c r="L11" s="5"/>
    </row>
    <row r="12" spans="1:12" x14ac:dyDescent="0.45">
      <c r="A12" s="5"/>
      <c r="B12" s="5"/>
      <c r="C12" s="5"/>
      <c r="D12" s="5"/>
      <c r="E12" s="5"/>
      <c r="F12" s="5"/>
      <c r="G12" s="5"/>
      <c r="H12" s="5"/>
      <c r="I12" s="5"/>
      <c r="J12" s="5"/>
      <c r="K12" s="5"/>
      <c r="L12" s="5"/>
    </row>
    <row r="13" spans="1:12" x14ac:dyDescent="0.45">
      <c r="A13" s="5"/>
      <c r="B13" s="5"/>
      <c r="C13" s="5"/>
      <c r="D13" s="5"/>
      <c r="E13" s="5"/>
      <c r="F13" s="5"/>
      <c r="G13" s="5"/>
      <c r="H13" s="5"/>
      <c r="I13" s="5"/>
      <c r="J13" s="5"/>
      <c r="K13" s="5"/>
      <c r="L13" s="5"/>
    </row>
    <row r="14" spans="1:12" x14ac:dyDescent="0.45">
      <c r="A14" s="5"/>
      <c r="B14" s="5"/>
      <c r="C14" s="5"/>
      <c r="D14" s="5"/>
      <c r="E14" s="5"/>
      <c r="F14" s="5"/>
      <c r="G14" s="5"/>
      <c r="H14" s="5"/>
      <c r="I14" s="5"/>
      <c r="J14" s="5"/>
      <c r="K14" s="5"/>
      <c r="L14" s="5"/>
    </row>
    <row r="15" spans="1:12" x14ac:dyDescent="0.45">
      <c r="A15" s="5"/>
      <c r="B15" s="5"/>
      <c r="C15" s="5"/>
      <c r="D15" s="5"/>
      <c r="E15" s="5"/>
      <c r="F15" s="5"/>
      <c r="G15" s="5"/>
      <c r="H15" s="5"/>
      <c r="I15" s="5"/>
      <c r="J15" s="5"/>
      <c r="K15" s="5"/>
      <c r="L15" s="5"/>
    </row>
    <row r="16" spans="1:12" x14ac:dyDescent="0.45">
      <c r="A16" s="5"/>
      <c r="B16" s="5"/>
      <c r="C16" s="5"/>
      <c r="D16" s="5"/>
      <c r="E16" s="5"/>
      <c r="F16" s="5"/>
      <c r="G16" s="5"/>
      <c r="H16" s="5"/>
      <c r="I16" s="5"/>
      <c r="J16" s="5"/>
      <c r="K16" s="5"/>
      <c r="L16" s="5"/>
    </row>
    <row r="17" spans="1:12" x14ac:dyDescent="0.45">
      <c r="A17" s="5"/>
      <c r="B17" s="5"/>
      <c r="C17" s="5"/>
      <c r="D17" s="5"/>
      <c r="E17" s="5"/>
      <c r="F17" s="5"/>
      <c r="G17" s="5"/>
      <c r="H17" s="5"/>
      <c r="I17" s="5"/>
      <c r="J17" s="5"/>
      <c r="K17" s="5"/>
      <c r="L17" s="5"/>
    </row>
    <row r="18" spans="1:12" x14ac:dyDescent="0.45">
      <c r="A18" s="5"/>
      <c r="B18" s="5"/>
      <c r="C18" s="5"/>
      <c r="D18" s="5"/>
      <c r="E18" s="5"/>
      <c r="F18" s="5"/>
      <c r="G18" s="5"/>
      <c r="H18" s="5"/>
      <c r="I18" s="5"/>
      <c r="J18" s="5"/>
      <c r="K18" s="5"/>
      <c r="L18" s="5"/>
    </row>
    <row r="19" spans="1:12" x14ac:dyDescent="0.45">
      <c r="A19" s="5"/>
      <c r="B19" s="5"/>
      <c r="C19" s="5"/>
      <c r="D19" s="5"/>
      <c r="E19" s="5"/>
      <c r="F19" s="5"/>
      <c r="G19" s="5"/>
      <c r="H19" s="5"/>
      <c r="I19" s="5"/>
      <c r="J19" s="5"/>
      <c r="K19" s="5"/>
      <c r="L19" s="5"/>
    </row>
    <row r="20" spans="1:12" x14ac:dyDescent="0.45">
      <c r="A20" s="5"/>
      <c r="B20" s="5"/>
      <c r="C20" s="5"/>
      <c r="D20" s="5"/>
      <c r="E20" s="5"/>
      <c r="F20" s="5"/>
      <c r="G20" s="5"/>
      <c r="H20" s="5"/>
      <c r="I20" s="5"/>
      <c r="J20" s="5"/>
      <c r="K20" s="5"/>
      <c r="L20" s="5"/>
    </row>
    <row r="21" spans="1:12" x14ac:dyDescent="0.45">
      <c r="A21" s="5"/>
      <c r="B21" s="5"/>
      <c r="C21" s="5"/>
      <c r="D21" s="5"/>
      <c r="E21" s="5"/>
      <c r="F21" s="5"/>
      <c r="G21" s="5"/>
      <c r="H21" s="5"/>
      <c r="I21" s="5"/>
      <c r="J21" s="5"/>
      <c r="K21" s="5"/>
      <c r="L21" s="5"/>
    </row>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8AA0E-7614-400E-A5B0-DE9889916687}">
  <dimension ref="A1"/>
  <sheetViews>
    <sheetView workbookViewId="0">
      <selection activeCell="J22" sqref="J22"/>
    </sheetView>
  </sheetViews>
  <sheetFormatPr defaultRowHeight="14.25" x14ac:dyDescent="0.4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A1EDB-B531-4D01-B86F-E1CF8D7709B9}">
  <dimension ref="A1:P26"/>
  <sheetViews>
    <sheetView workbookViewId="0"/>
  </sheetViews>
  <sheetFormatPr defaultRowHeight="14.25" x14ac:dyDescent="0.45"/>
  <sheetData>
    <row r="1" spans="1:16" x14ac:dyDescent="0.45">
      <c r="A1" s="5"/>
      <c r="B1" s="5"/>
      <c r="C1" s="5"/>
      <c r="D1" s="5"/>
      <c r="E1" s="5"/>
      <c r="F1" s="5"/>
      <c r="G1" s="5"/>
      <c r="H1" s="5"/>
      <c r="I1" s="5"/>
      <c r="J1" s="5"/>
      <c r="K1" s="5"/>
      <c r="L1" s="5"/>
      <c r="M1" s="5"/>
      <c r="N1" s="5"/>
      <c r="O1" s="5"/>
      <c r="P1" s="5"/>
    </row>
    <row r="2" spans="1:16" x14ac:dyDescent="0.45">
      <c r="A2" s="5"/>
      <c r="B2" s="5"/>
      <c r="C2" s="5"/>
      <c r="D2" s="5"/>
      <c r="E2" s="5"/>
      <c r="F2" s="5"/>
      <c r="G2" s="5"/>
      <c r="H2" s="5"/>
      <c r="I2" s="5"/>
      <c r="J2" s="5"/>
      <c r="K2" s="5"/>
      <c r="L2" s="5"/>
      <c r="M2" s="5"/>
      <c r="N2" s="5"/>
      <c r="O2" s="5"/>
      <c r="P2" s="5"/>
    </row>
    <row r="3" spans="1:16" x14ac:dyDescent="0.45">
      <c r="A3" s="5"/>
      <c r="B3" s="5"/>
      <c r="C3" s="5"/>
      <c r="D3" s="5"/>
      <c r="E3" s="5"/>
      <c r="F3" s="5"/>
      <c r="G3" s="5"/>
      <c r="H3" s="5"/>
      <c r="I3" s="5"/>
      <c r="J3" s="5"/>
      <c r="K3" s="5"/>
      <c r="L3" s="5"/>
      <c r="M3" s="5"/>
      <c r="N3" s="5"/>
      <c r="O3" s="5"/>
      <c r="P3" s="5"/>
    </row>
    <row r="4" spans="1:16" x14ac:dyDescent="0.45">
      <c r="A4" s="5"/>
      <c r="B4" s="5"/>
      <c r="C4" s="5"/>
      <c r="D4" s="5"/>
      <c r="E4" s="5"/>
      <c r="F4" s="5"/>
      <c r="G4" s="5"/>
      <c r="H4" s="5"/>
      <c r="I4" s="5"/>
      <c r="J4" s="5"/>
      <c r="K4" s="5"/>
      <c r="L4" s="5"/>
      <c r="M4" s="5"/>
      <c r="N4" s="5"/>
      <c r="O4" s="5"/>
      <c r="P4" s="5"/>
    </row>
    <row r="5" spans="1:16" x14ac:dyDescent="0.45">
      <c r="A5" s="5"/>
      <c r="B5" s="5"/>
      <c r="C5" s="5"/>
      <c r="D5" s="5"/>
      <c r="E5" s="5"/>
      <c r="F5" s="5"/>
      <c r="G5" s="5"/>
      <c r="H5" s="5"/>
      <c r="I5" s="5"/>
      <c r="J5" s="5"/>
      <c r="K5" s="5"/>
      <c r="L5" s="5"/>
      <c r="M5" s="5"/>
      <c r="N5" s="5"/>
      <c r="O5" s="5"/>
      <c r="P5" s="5"/>
    </row>
    <row r="6" spans="1:16" x14ac:dyDescent="0.45">
      <c r="A6" s="5"/>
      <c r="B6" s="5"/>
      <c r="C6" s="5"/>
      <c r="D6" s="5"/>
      <c r="E6" s="5"/>
      <c r="F6" s="5"/>
      <c r="G6" s="5"/>
      <c r="H6" s="5"/>
      <c r="I6" s="5"/>
      <c r="J6" s="5"/>
      <c r="K6" s="5"/>
      <c r="L6" s="5"/>
      <c r="M6" s="5"/>
      <c r="N6" s="5"/>
      <c r="O6" s="5"/>
      <c r="P6" s="5"/>
    </row>
    <row r="7" spans="1:16" x14ac:dyDescent="0.45">
      <c r="A7" s="5"/>
      <c r="B7" s="5"/>
      <c r="C7" s="5"/>
      <c r="D7" s="5"/>
      <c r="E7" s="5"/>
      <c r="F7" s="5"/>
      <c r="G7" s="5"/>
      <c r="H7" s="5"/>
      <c r="I7" s="5"/>
      <c r="J7" s="5"/>
      <c r="K7" s="5"/>
      <c r="L7" s="5"/>
      <c r="M7" s="5"/>
      <c r="N7" s="5"/>
      <c r="O7" s="5"/>
      <c r="P7" s="5"/>
    </row>
    <row r="8" spans="1:16" x14ac:dyDescent="0.45">
      <c r="A8" s="5"/>
      <c r="B8" s="5"/>
      <c r="C8" s="5"/>
      <c r="D8" s="5"/>
      <c r="E8" s="5"/>
      <c r="F8" s="5"/>
      <c r="G8" s="5"/>
      <c r="H8" s="5"/>
      <c r="I8" s="5"/>
      <c r="J8" s="5"/>
      <c r="K8" s="5"/>
      <c r="L8" s="5"/>
      <c r="M8" s="5"/>
      <c r="N8" s="5"/>
      <c r="O8" s="5"/>
      <c r="P8" s="5"/>
    </row>
    <row r="9" spans="1:16" x14ac:dyDescent="0.45">
      <c r="A9" s="5"/>
      <c r="B9" s="5"/>
      <c r="C9" s="5"/>
      <c r="D9" s="5"/>
      <c r="E9" s="5"/>
      <c r="F9" s="5"/>
      <c r="G9" s="5"/>
      <c r="H9" s="5"/>
      <c r="I9" s="5"/>
      <c r="J9" s="5"/>
      <c r="K9" s="5"/>
      <c r="L9" s="5"/>
      <c r="M9" s="5"/>
      <c r="N9" s="5"/>
      <c r="O9" s="5"/>
      <c r="P9" s="5"/>
    </row>
    <row r="10" spans="1:16" x14ac:dyDescent="0.45">
      <c r="A10" s="5"/>
      <c r="B10" s="5"/>
      <c r="C10" s="5"/>
      <c r="D10" s="5"/>
      <c r="E10" s="5"/>
      <c r="F10" s="5"/>
      <c r="G10" s="5"/>
      <c r="H10" s="5"/>
      <c r="I10" s="5"/>
      <c r="J10" s="5"/>
      <c r="K10" s="5"/>
      <c r="L10" s="5"/>
      <c r="M10" s="5"/>
      <c r="N10" s="5"/>
      <c r="O10" s="5"/>
      <c r="P10" s="5"/>
    </row>
    <row r="11" spans="1:16" x14ac:dyDescent="0.45">
      <c r="A11" s="5"/>
      <c r="B11" s="5"/>
      <c r="C11" s="5"/>
      <c r="D11" s="5"/>
      <c r="E11" s="5"/>
      <c r="F11" s="5"/>
      <c r="G11" s="5"/>
      <c r="H11" s="5"/>
      <c r="I11" s="5"/>
      <c r="J11" s="5"/>
      <c r="K11" s="5"/>
      <c r="L11" s="5"/>
      <c r="M11" s="5"/>
      <c r="N11" s="5"/>
      <c r="O11" s="5"/>
      <c r="P11" s="5"/>
    </row>
    <row r="12" spans="1:16" x14ac:dyDescent="0.45">
      <c r="A12" s="5"/>
      <c r="B12" s="5"/>
      <c r="C12" s="5"/>
      <c r="D12" s="5"/>
      <c r="E12" s="5"/>
      <c r="F12" s="5"/>
      <c r="G12" s="5"/>
      <c r="H12" s="5"/>
      <c r="I12" s="5"/>
      <c r="J12" s="5"/>
      <c r="K12" s="5"/>
      <c r="L12" s="5"/>
      <c r="M12" s="5"/>
      <c r="N12" s="5"/>
      <c r="O12" s="5"/>
      <c r="P12" s="5"/>
    </row>
    <row r="13" spans="1:16" x14ac:dyDescent="0.45">
      <c r="A13" s="5"/>
      <c r="B13" s="5"/>
      <c r="C13" s="5"/>
      <c r="D13" s="5"/>
      <c r="E13" s="5"/>
      <c r="F13" s="5"/>
      <c r="G13" s="5"/>
      <c r="H13" s="5"/>
      <c r="I13" s="5"/>
      <c r="J13" s="5"/>
      <c r="K13" s="5"/>
      <c r="L13" s="5"/>
      <c r="M13" s="5"/>
      <c r="N13" s="5"/>
      <c r="O13" s="5"/>
      <c r="P13" s="5"/>
    </row>
    <row r="14" spans="1:16" x14ac:dyDescent="0.45">
      <c r="A14" s="5"/>
      <c r="B14" s="5"/>
      <c r="C14" s="5"/>
      <c r="D14" s="5"/>
      <c r="E14" s="5"/>
      <c r="F14" s="5"/>
      <c r="G14" s="5"/>
      <c r="H14" s="5"/>
      <c r="I14" s="5"/>
      <c r="J14" s="5"/>
      <c r="K14" s="5"/>
      <c r="L14" s="5"/>
      <c r="M14" s="5"/>
      <c r="N14" s="5"/>
      <c r="O14" s="5"/>
      <c r="P14" s="5"/>
    </row>
    <row r="15" spans="1:16" x14ac:dyDescent="0.45">
      <c r="A15" s="5"/>
      <c r="B15" s="5"/>
      <c r="C15" s="5"/>
      <c r="D15" s="5"/>
      <c r="E15" s="5"/>
      <c r="F15" s="5"/>
      <c r="G15" s="5"/>
      <c r="H15" s="5"/>
      <c r="I15" s="5"/>
      <c r="J15" s="5"/>
      <c r="K15" s="5"/>
      <c r="L15" s="5"/>
      <c r="M15" s="5"/>
      <c r="N15" s="5"/>
      <c r="O15" s="5"/>
      <c r="P15" s="5"/>
    </row>
    <row r="16" spans="1:16" x14ac:dyDescent="0.45">
      <c r="A16" s="5"/>
      <c r="B16" s="5"/>
      <c r="C16" s="5"/>
      <c r="D16" s="5"/>
      <c r="E16" s="5"/>
      <c r="F16" s="5"/>
      <c r="G16" s="5"/>
      <c r="H16" s="5"/>
      <c r="I16" s="5"/>
      <c r="J16" s="5"/>
      <c r="K16" s="5"/>
      <c r="L16" s="5"/>
      <c r="M16" s="5"/>
      <c r="N16" s="5"/>
      <c r="O16" s="5"/>
      <c r="P16" s="5"/>
    </row>
    <row r="17" spans="1:16" x14ac:dyDescent="0.45">
      <c r="A17" s="5"/>
      <c r="B17" s="5"/>
      <c r="C17" s="5"/>
      <c r="D17" s="5"/>
      <c r="E17" s="5"/>
      <c r="F17" s="5"/>
      <c r="G17" s="5"/>
      <c r="H17" s="5"/>
      <c r="I17" s="5"/>
      <c r="J17" s="5"/>
      <c r="K17" s="5"/>
      <c r="L17" s="5"/>
      <c r="M17" s="5"/>
      <c r="N17" s="5"/>
      <c r="O17" s="5"/>
      <c r="P17" s="5"/>
    </row>
    <row r="18" spans="1:16" x14ac:dyDescent="0.45">
      <c r="A18" s="5"/>
      <c r="B18" s="5"/>
      <c r="C18" s="5"/>
      <c r="D18" s="5"/>
      <c r="E18" s="5"/>
      <c r="F18" s="5"/>
      <c r="G18" s="5"/>
      <c r="H18" s="5"/>
      <c r="I18" s="5"/>
      <c r="J18" s="5"/>
      <c r="K18" s="5"/>
      <c r="L18" s="5"/>
      <c r="M18" s="5"/>
      <c r="N18" s="5"/>
      <c r="O18" s="5"/>
      <c r="P18" s="5"/>
    </row>
    <row r="19" spans="1:16" x14ac:dyDescent="0.45">
      <c r="A19" s="5"/>
      <c r="B19" s="5"/>
      <c r="C19" s="5"/>
      <c r="D19" s="5"/>
      <c r="E19" s="5"/>
      <c r="F19" s="5"/>
      <c r="G19" s="5"/>
      <c r="H19" s="5"/>
      <c r="I19" s="5"/>
      <c r="J19" s="5"/>
      <c r="K19" s="5"/>
      <c r="L19" s="5"/>
      <c r="M19" s="5"/>
      <c r="N19" s="5"/>
      <c r="O19" s="5"/>
      <c r="P19" s="5"/>
    </row>
    <row r="20" spans="1:16" x14ac:dyDescent="0.45">
      <c r="A20" s="5"/>
      <c r="B20" s="5"/>
      <c r="C20" s="5"/>
      <c r="D20" s="5"/>
      <c r="E20" s="5"/>
      <c r="F20" s="5"/>
      <c r="G20" s="5"/>
      <c r="H20" s="5"/>
      <c r="I20" s="5"/>
      <c r="J20" s="5"/>
      <c r="K20" s="5"/>
      <c r="L20" s="5"/>
      <c r="M20" s="5"/>
      <c r="N20" s="5"/>
      <c r="O20" s="5"/>
      <c r="P20" s="5"/>
    </row>
    <row r="21" spans="1:16" x14ac:dyDescent="0.45">
      <c r="A21" s="5"/>
      <c r="B21" s="5"/>
      <c r="C21" s="5"/>
      <c r="D21" s="5"/>
      <c r="E21" s="5"/>
      <c r="F21" s="5"/>
      <c r="G21" s="5"/>
      <c r="H21" s="5"/>
      <c r="I21" s="5"/>
      <c r="J21" s="5"/>
      <c r="K21" s="5"/>
      <c r="L21" s="5"/>
      <c r="M21" s="5"/>
      <c r="N21" s="5"/>
      <c r="O21" s="5"/>
      <c r="P21" s="5"/>
    </row>
    <row r="22" spans="1:16" x14ac:dyDescent="0.45">
      <c r="A22" s="5"/>
      <c r="B22" s="5"/>
      <c r="C22" s="5"/>
      <c r="D22" s="5"/>
      <c r="E22" s="5"/>
      <c r="F22" s="5"/>
      <c r="G22" s="5"/>
      <c r="H22" s="5"/>
      <c r="I22" s="5"/>
      <c r="J22" s="5"/>
      <c r="K22" s="5"/>
      <c r="L22" s="5"/>
      <c r="M22" s="5"/>
      <c r="N22" s="5"/>
      <c r="O22" s="5"/>
      <c r="P22" s="5"/>
    </row>
    <row r="23" spans="1:16" x14ac:dyDescent="0.45">
      <c r="A23" s="5"/>
      <c r="B23" s="5"/>
      <c r="C23" s="5"/>
      <c r="D23" s="5"/>
      <c r="E23" s="5"/>
      <c r="F23" s="5"/>
      <c r="G23" s="5"/>
      <c r="H23" s="5"/>
      <c r="I23" s="5"/>
      <c r="J23" s="5"/>
      <c r="K23" s="5"/>
      <c r="L23" s="5"/>
      <c r="M23" s="5"/>
      <c r="N23" s="5"/>
      <c r="O23" s="5"/>
      <c r="P23" s="5"/>
    </row>
    <row r="24" spans="1:16" x14ac:dyDescent="0.45">
      <c r="A24" s="5"/>
      <c r="B24" s="5"/>
      <c r="C24" s="5"/>
      <c r="D24" s="5"/>
      <c r="E24" s="5"/>
      <c r="F24" s="5"/>
      <c r="G24" s="5"/>
      <c r="H24" s="5"/>
      <c r="I24" s="5"/>
      <c r="J24" s="5"/>
      <c r="K24" s="5"/>
      <c r="L24" s="5"/>
      <c r="M24" s="5"/>
      <c r="N24" s="5"/>
      <c r="O24" s="5"/>
      <c r="P24" s="5"/>
    </row>
    <row r="25" spans="1:16" x14ac:dyDescent="0.45">
      <c r="A25" s="5"/>
      <c r="B25" s="5"/>
      <c r="C25" s="5"/>
      <c r="D25" s="5"/>
      <c r="E25" s="5"/>
      <c r="F25" s="5"/>
      <c r="G25" s="5"/>
      <c r="H25" s="5"/>
      <c r="I25" s="5"/>
      <c r="J25" s="5"/>
      <c r="K25" s="5"/>
      <c r="L25" s="5"/>
      <c r="M25" s="5"/>
      <c r="N25" s="5"/>
      <c r="O25" s="5"/>
      <c r="P25" s="5"/>
    </row>
    <row r="26" spans="1:16" x14ac:dyDescent="0.45">
      <c r="A26" s="5"/>
      <c r="B26" s="5"/>
      <c r="C26" s="5"/>
      <c r="D26" s="5"/>
      <c r="E26" s="5"/>
      <c r="F26" s="5"/>
      <c r="G26" s="5"/>
      <c r="H26" s="5"/>
      <c r="I26" s="5"/>
      <c r="J26" s="5"/>
      <c r="K26" s="5"/>
      <c r="L26" s="5"/>
      <c r="M26" s="5"/>
      <c r="N26" s="5"/>
      <c r="O26" s="5"/>
      <c r="P26" s="5"/>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9C1092E8-7507-4AD3-9127-22D9D2B7563D}">
  <ds:schemaRefs/>
</ds:datastoreItem>
</file>

<file path=customXml/itemProps2.xml><?xml version="1.0" encoding="utf-8"?>
<ds:datastoreItem xmlns:ds="http://schemas.openxmlformats.org/officeDocument/2006/customXml" ds:itemID="{ACCF5F4B-0FCC-4CD7-B21B-DC62A1EEF415}">
  <ds:schemaRefs/>
</ds:datastoreItem>
</file>

<file path=customXml/itemProps3.xml><?xml version="1.0" encoding="utf-8"?>
<ds:datastoreItem xmlns:ds="http://schemas.openxmlformats.org/officeDocument/2006/customXml" ds:itemID="{8EB5C635-64AF-4E6F-B4BC-3A58B79A09EE}">
  <ds:schemaRefs/>
</ds:datastoreItem>
</file>

<file path=customXml/itemProps4.xml><?xml version="1.0" encoding="utf-8"?>
<ds:datastoreItem xmlns:ds="http://schemas.openxmlformats.org/officeDocument/2006/customXml" ds:itemID="{68BF7C4D-ACB2-4013-AF24-A539C6629819}">
  <ds:schemaRefs/>
</ds:datastoreItem>
</file>

<file path=customXml/itemProps5.xml><?xml version="1.0" encoding="utf-8"?>
<ds:datastoreItem xmlns:ds="http://schemas.openxmlformats.org/officeDocument/2006/customXml" ds:itemID="{7B2B7525-682B-4843-8685-8F3A7FBD923D}">
  <ds:schemaRefs/>
</ds:datastoreItem>
</file>

<file path=customXml/itemProps6.xml><?xml version="1.0" encoding="utf-8"?>
<ds:datastoreItem xmlns:ds="http://schemas.openxmlformats.org/officeDocument/2006/customXml" ds:itemID="{DFEF7B67-91CC-438F-935E-C6E5B4AD8BC6}">
  <ds:schemaRefs/>
</ds:datastoreItem>
</file>

<file path=customXml/itemProps7.xml><?xml version="1.0" encoding="utf-8"?>
<ds:datastoreItem xmlns:ds="http://schemas.openxmlformats.org/officeDocument/2006/customXml" ds:itemID="{20EC5FA8-BD14-414E-BF20-2149F67C45A0}">
  <ds:schemaRefs/>
</ds:datastoreItem>
</file>

<file path=customXml/itemProps8.xml><?xml version="1.0" encoding="utf-8"?>
<ds:datastoreItem xmlns:ds="http://schemas.openxmlformats.org/officeDocument/2006/customXml" ds:itemID="{C2E2F6F6-A2CD-4F93-B6D2-4FE7710B1C18}">
  <ds:schemaRefs/>
</ds:datastoreItem>
</file>

<file path=customXml/itemProps9.xml><?xml version="1.0" encoding="utf-8"?>
<ds:datastoreItem xmlns:ds="http://schemas.openxmlformats.org/officeDocument/2006/customXml" ds:itemID="{CD006155-804D-4D9C-8344-66CC8CF60E3E}">
  <ds:schemaRefs>
    <ds:schemaRef ds:uri="http://schemas.microsoft.com/DataMashup"/>
  </ds:schemaRefs>
</ds:datastoreItem>
</file>

<file path=customXml/itemProps10.xml><?xml version="1.0" encoding="utf-8"?>
<ds:datastoreItem xmlns:ds="http://schemas.openxmlformats.org/officeDocument/2006/customXml" ds:itemID="{3E3B39D5-2479-40ED-A081-19FA3689D235}">
  <ds:schemaRefs/>
</ds:datastoreItem>
</file>

<file path=customXml/itemProps11.xml><?xml version="1.0" encoding="utf-8"?>
<ds:datastoreItem xmlns:ds="http://schemas.openxmlformats.org/officeDocument/2006/customXml" ds:itemID="{8C674C9F-67E9-4338-9BA3-E9CD093B9F95}">
  <ds:schemaRefs/>
</ds:datastoreItem>
</file>

<file path=customXml/itemProps12.xml><?xml version="1.0" encoding="utf-8"?>
<ds:datastoreItem xmlns:ds="http://schemas.openxmlformats.org/officeDocument/2006/customXml" ds:itemID="{09E4DA22-2F7F-43F2-BE7B-CBF43F157A02}">
  <ds:schemaRefs/>
</ds:datastoreItem>
</file>

<file path=customXml/itemProps13.xml><?xml version="1.0" encoding="utf-8"?>
<ds:datastoreItem xmlns:ds="http://schemas.openxmlformats.org/officeDocument/2006/customXml" ds:itemID="{3D96A1BC-193D-46DF-B5B4-617DE995A4BB}">
  <ds:schemaRefs/>
</ds:datastoreItem>
</file>

<file path=customXml/itemProps14.xml><?xml version="1.0" encoding="utf-8"?>
<ds:datastoreItem xmlns:ds="http://schemas.openxmlformats.org/officeDocument/2006/customXml" ds:itemID="{A21B8B40-CA5B-4D8A-9464-E2EF86918DBB}">
  <ds:schemaRefs/>
</ds:datastoreItem>
</file>

<file path=customXml/itemProps15.xml><?xml version="1.0" encoding="utf-8"?>
<ds:datastoreItem xmlns:ds="http://schemas.openxmlformats.org/officeDocument/2006/customXml" ds:itemID="{B31452A7-1721-46E1-AB99-1D8EAA4196BD}">
  <ds:schemaRefs/>
</ds:datastoreItem>
</file>

<file path=customXml/itemProps16.xml><?xml version="1.0" encoding="utf-8"?>
<ds:datastoreItem xmlns:ds="http://schemas.openxmlformats.org/officeDocument/2006/customXml" ds:itemID="{C1172AE2-7203-4BB9-BB09-63F523715C93}">
  <ds:schemaRefs/>
</ds:datastoreItem>
</file>

<file path=customXml/itemProps17.xml><?xml version="1.0" encoding="utf-8"?>
<ds:datastoreItem xmlns:ds="http://schemas.openxmlformats.org/officeDocument/2006/customXml" ds:itemID="{801FBC3F-62EE-4A6B-A471-898F7ECA159E}">
  <ds:schemaRefs/>
</ds:datastoreItem>
</file>

<file path=customXml/itemProps18.xml><?xml version="1.0" encoding="utf-8"?>
<ds:datastoreItem xmlns:ds="http://schemas.openxmlformats.org/officeDocument/2006/customXml" ds:itemID="{13185FD2-D20E-44E5-A055-EEEAC52176F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satisfaction score</vt:lpstr>
      <vt:lpstr>Daily Trend</vt:lpstr>
      <vt:lpstr>AVG wait time daily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Arjun Anil</dc:creator>
  <cp:lastModifiedBy>Arjun Anil</cp:lastModifiedBy>
  <dcterms:created xsi:type="dcterms:W3CDTF">2015-06-05T18:17:20Z</dcterms:created>
  <dcterms:modified xsi:type="dcterms:W3CDTF">2025-11-25T07:34:42Z</dcterms:modified>
</cp:coreProperties>
</file>